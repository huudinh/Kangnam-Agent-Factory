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Hướng dẫn" sheetId="1" state="visible" r:id="rId1"/>
    <sheet name="1. AI QC" sheetId="2" state="visible" r:id="rId2"/>
    <sheet name="2. AI Nhắc lịch TeleSale" sheetId="3" state="visible" r:id="rId3"/>
    <sheet name="3. AI Lead Scoring" sheetId="4" state="visible" r:id="rId4"/>
    <sheet name="4. Số liệu cần chốt" sheetId="5" state="visible" r:id="rId5"/>
    <sheet name="5. Tài liệu nguồn" sheetId="6" state="visible" r:id="rId6"/>
    <sheet name="6. Việc cần làm" sheetId="7" state="visible" r:id="rId7"/>
    <sheet name="7. Tổng hợp" sheetId="8" state="visible" r:id="rId8"/>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3A1425"/>
      <sz val="14"/>
    </font>
    <font>
      <name val="Arial"/>
      <i val="1"/>
      <color rgb="007A5560"/>
      <sz val="10"/>
    </font>
    <font>
      <name val="Arial"/>
      <b val="1"/>
      <color rgb="003A1425"/>
      <sz val="11"/>
    </font>
    <font>
      <name val="Arial"/>
      <b val="1"/>
      <sz val="10"/>
    </font>
    <font>
      <name val="Arial"/>
      <sz val="10"/>
    </font>
    <font>
      <name val="Arial"/>
      <b val="1"/>
      <color rgb="001E6B2E"/>
      <sz val="10"/>
    </font>
    <font>
      <name val="Arial"/>
      <b val="1"/>
      <color rgb="009A6212"/>
      <sz val="10"/>
    </font>
    <font>
      <name val="Arial"/>
      <b val="1"/>
      <color rgb="00B3201F"/>
      <sz val="10"/>
    </font>
    <font>
      <name val="Arial"/>
      <b val="1"/>
      <color rgb="00FFFFFF"/>
      <sz val="10"/>
    </font>
    <font>
      <name val="Arial"/>
      <b val="1"/>
      <color rgb="00B3201F"/>
      <sz val="11"/>
    </font>
  </fonts>
  <fills count="6">
    <fill>
      <patternFill/>
    </fill>
    <fill>
      <patternFill patternType="gray125"/>
    </fill>
    <fill>
      <patternFill patternType="solid">
        <fgColor rgb="00FFFF00"/>
      </patternFill>
    </fill>
    <fill>
      <patternFill patternType="solid">
        <fgColor rgb="00F9ECD2"/>
      </patternFill>
    </fill>
    <fill>
      <patternFill patternType="solid">
        <fgColor rgb="003A1425"/>
      </patternFill>
    </fill>
    <fill>
      <patternFill patternType="solid">
        <fgColor rgb="00F7EBE6"/>
      </patternFill>
    </fill>
  </fills>
  <borders count="2">
    <border>
      <left/>
      <right/>
      <top/>
      <bottom/>
      <diagonal/>
    </border>
    <border>
      <left style="thin">
        <color rgb="00D6BDB8"/>
      </left>
      <right style="thin">
        <color rgb="00D6BDB8"/>
      </right>
      <top style="thin">
        <color rgb="00D6BDB8"/>
      </top>
      <bottom style="thin">
        <color rgb="00D6BDB8"/>
      </bottom>
    </border>
  </borders>
  <cellStyleXfs count="1">
    <xf numFmtId="0" fontId="0" fillId="0" borderId="0"/>
  </cellStyleXfs>
  <cellXfs count="28">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4" fillId="2" borderId="1" applyAlignment="1" pivotButton="0" quotePrefix="0" xfId="0">
      <alignment vertical="top" wrapText="1"/>
    </xf>
    <xf numFmtId="0" fontId="4" fillId="3"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xf numFmtId="0" fontId="9" fillId="4" borderId="1" applyAlignment="1" pivotButton="0" quotePrefix="0" xfId="0">
      <alignment horizontal="center" vertical="center" wrapText="1"/>
    </xf>
    <xf numFmtId="0" fontId="5" fillId="0" borderId="1" applyAlignment="1" pivotButton="0" quotePrefix="0" xfId="0">
      <alignment vertical="top" wrapText="1"/>
    </xf>
    <xf numFmtId="0" fontId="5" fillId="3" borderId="1" applyAlignment="1" pivotButton="0" quotePrefix="0" xfId="0">
      <alignment vertical="top" wrapText="1"/>
    </xf>
    <xf numFmtId="0" fontId="5" fillId="2" borderId="1" applyAlignment="1" pivotButton="0" quotePrefix="0" xfId="0">
      <alignment vertical="top" wrapText="1"/>
    </xf>
    <xf numFmtId="0" fontId="10" fillId="0" borderId="0" pivotButton="0" quotePrefix="0" xfId="0"/>
    <xf numFmtId="0" fontId="5" fillId="0" borderId="1" applyAlignment="1" pivotButton="0" quotePrefix="0" xfId="0">
      <alignment horizontal="center" vertical="center" wrapText="1"/>
    </xf>
    <xf numFmtId="0" fontId="5" fillId="5"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4" fillId="0" borderId="0" pivotButton="0" quotePrefix="0" xfId="0"/>
    <xf numFmtId="0" fontId="4" fillId="5" borderId="1" applyAlignment="1" pivotButton="0" quotePrefix="0" xfId="0">
      <alignment horizontal="center" vertical="center" wrapText="1"/>
    </xf>
    <xf numFmtId="0" fontId="2" fillId="0" borderId="0" pivotButton="0" quotePrefix="0" xfId="0"/>
    <xf numFmtId="0" fontId="0" fillId="2" borderId="1" applyAlignment="1" pivotButton="0" quotePrefix="0" xfId="0">
      <alignment vertical="top" wrapText="1"/>
    </xf>
    <xf numFmtId="0" fontId="4" fillId="5" borderId="1"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27" customWidth="1" min="1" max="1"/>
    <col width="14" customWidth="1" min="2" max="2"/>
    <col width="30" customWidth="1" min="3" max="3"/>
    <col width="26" customWidth="1" min="4" max="4"/>
    <col width="30" customWidth="1" min="5" max="5"/>
    <col width="34" customWidth="1" min="6" max="6"/>
    <col width="20" customWidth="1" min="7" max="7"/>
  </cols>
  <sheetData>
    <row r="1" ht="24" customHeight="1">
      <c r="A1" s="1" t="inlineStr">
        <is>
          <t>PHẢN HỒI YÊU CẦU CỦA KHỐI CNTT — 03 TRỢ LÝ AI</t>
        </is>
      </c>
    </row>
    <row r="2" ht="32" customHeight="1">
      <c r="A2" s="2" t="inlineStr">
        <is>
          <t>Hồ sơ tài liệu cần cung cấp để CNTT đánh giá yêu cầu, xây dựng giải pháp kỹ thuật và xác định effort.</t>
        </is>
      </c>
    </row>
    <row r="4">
      <c r="A4" s="3" t="inlineStr">
        <is>
          <t>CÁCH DÙNG FILE NÀY</t>
        </is>
      </c>
    </row>
    <row r="5" ht="18" customHeight="1">
      <c r="A5" s="4" t="inlineStr">
        <is>
          <t>Sheet 1 – 3</t>
        </is>
      </c>
      <c r="B5" s="5" t="inlineStr">
        <is>
          <t>Mỗi trợ lý một sheet, liệt kê đầy đủ các hạng mục tài liệu CNTT yêu cầu, chia theo 4 nhóm.</t>
        </is>
      </c>
    </row>
    <row r="6" ht="18" customHeight="1">
      <c r="A6" s="4" t="inlineStr">
        <is>
          <t>Cột đã điền sẵn</t>
        </is>
      </c>
      <c r="B6" s="5" t="inlineStr">
        <is>
          <t>Cột D–G do đội dự án điền: trạng thái hiện tại, nội dung đã có, nguồn tài liệu, và phần còn thiếu.</t>
        </is>
      </c>
    </row>
    <row r="7" ht="18" customHeight="1">
      <c r="A7" s="4" t="inlineStr">
        <is>
          <t>Cột cần anh/chị điền</t>
        </is>
      </c>
      <c r="B7" s="5" t="inlineStr">
        <is>
          <t>Cột H, I, J — tô màu VÀNG. Đây là phần để trống chờ bổ sung.</t>
        </is>
      </c>
    </row>
    <row r="8" ht="18" customHeight="1">
      <c r="A8" s="4" t="inlineStr">
        <is>
          <t>Sheet 4</t>
        </is>
      </c>
      <c r="B8" s="5" t="inlineStr">
        <is>
          <t>Bốn con số đang vênh giữa tài liệu gốc và bộ module — cần chốt trước khi đưa vào tiêu chí nghiệm thu.</t>
        </is>
      </c>
    </row>
    <row r="9" ht="18" customHeight="1">
      <c r="A9" s="4" t="inlineStr">
        <is>
          <t>Sheet 5</t>
        </is>
      </c>
      <c r="B9" s="5" t="inlineStr">
        <is>
          <t>Danh mục tài liệu nguồn hiện có kèm đường dẫn.</t>
        </is>
      </c>
    </row>
    <row r="10" ht="18" customHeight="1">
      <c r="A10" s="4" t="inlineStr">
        <is>
          <t>Sheet 6</t>
        </is>
      </c>
      <c r="B10" s="5" t="inlineStr">
        <is>
          <t>Danh sách việc cần làm, xếp theo thứ tự ưu tiên.</t>
        </is>
      </c>
    </row>
    <row r="11" ht="18" customHeight="1">
      <c r="A11" s="4" t="inlineStr">
        <is>
          <t>Sheet 7</t>
        </is>
      </c>
      <c r="B11" s="5" t="inlineStr">
        <is>
          <t>Bảng tổng hợp — tự động tính từ sheet 1–3, không cần điền tay.</t>
        </is>
      </c>
    </row>
    <row r="13">
      <c r="A13" s="3" t="inlineStr">
        <is>
          <t>QUY ƯỚC MÀU VÀ TRẠNG THÁI</t>
        </is>
      </c>
    </row>
    <row r="14" ht="18" customHeight="1">
      <c r="A14" s="6" t="inlineStr">
        <is>
          <t>Ô màu vàng</t>
        </is>
      </c>
      <c r="B14" s="5" t="inlineStr">
        <is>
          <t>Anh/chị điền vào đây.</t>
        </is>
      </c>
    </row>
    <row r="15" ht="18" customHeight="1">
      <c r="A15" s="7" t="inlineStr">
        <is>
          <t>Ô màu kem</t>
        </is>
      </c>
      <c r="B15" s="5" t="inlineStr">
        <is>
          <t>Đội dự án đã điền — đọc để tham khảo, sửa nếu thấy chưa đúng.</t>
        </is>
      </c>
    </row>
    <row r="16" ht="18" customHeight="1">
      <c r="A16" s="8" t="inlineStr">
        <is>
          <t>Đã có</t>
        </is>
      </c>
      <c r="B16" s="5" t="inlineStr">
        <is>
          <t>Đã có tài liệu, dùng được ngay.</t>
        </is>
      </c>
    </row>
    <row r="17" ht="18" customHeight="1">
      <c r="A17" s="9" t="inlineStr">
        <is>
          <t>Một phần</t>
        </is>
      </c>
      <c r="B17" s="5" t="inlineStr">
        <is>
          <t>Có một phần, còn thiếu — xem cột G.</t>
        </is>
      </c>
    </row>
    <row r="18" ht="18" customHeight="1">
      <c r="A18" s="10" t="inlineStr">
        <is>
          <t>Chưa có</t>
        </is>
      </c>
      <c r="B18" s="5" t="inlineStr">
        <is>
          <t>Chưa có tài liệu nào, phải bổ sung từ đầu.</t>
        </is>
      </c>
    </row>
    <row r="20">
      <c r="A20" s="3" t="inlineStr">
        <is>
          <t>VÍ DỤ MỘT DÒNG ĐÃ ĐIỀN ĐẦY ĐỦ</t>
        </is>
      </c>
    </row>
    <row r="21" ht="30" customHeight="1">
      <c r="A21" s="11" t="inlineStr">
        <is>
          <t>Hạng mục</t>
        </is>
      </c>
      <c r="B21" s="11" t="inlineStr">
        <is>
          <t>Trạng thái</t>
        </is>
      </c>
      <c r="C21" s="11" t="inlineStr">
        <is>
          <t>Nội dung đã có</t>
        </is>
      </c>
      <c r="D21" s="11" t="inlineStr">
        <is>
          <t>Nguồn tài liệu</t>
        </is>
      </c>
      <c r="E21" s="11" t="inlineStr">
        <is>
          <t>Còn thiếu</t>
        </is>
      </c>
      <c r="F21" s="11" t="inlineStr">
        <is>
          <t>Nội dung bổ sung (ĐIỀN)</t>
        </is>
      </c>
      <c r="G21" s="11" t="inlineStr">
        <is>
          <t>Người phụ trách (ĐIỀN)</t>
        </is>
      </c>
    </row>
    <row r="22" ht="48" customHeight="1">
      <c r="A22" s="12" t="inlineStr">
        <is>
          <t>Bộ tiêu chí chấm hội thoại</t>
        </is>
      </c>
      <c r="B22" s="8" t="inlineStr">
        <is>
          <t>Đã có</t>
        </is>
      </c>
      <c r="C22" s="13" t="inlineStr">
        <is>
          <t>Bảng 10 tiêu chí, chuẩn đạt ≥ 8/10</t>
        </is>
      </c>
      <c r="D22" s="13" t="inlineStr">
        <is>
          <t>Playbook Trực Page T10, mục 6</t>
        </is>
      </c>
      <c r="E22" s="13" t="inlineStr">
        <is>
          <t>Cần văn bản xác nhận đây là bản đã duyệt</t>
        </is>
      </c>
      <c r="F22" s="14" t="inlineStr">
        <is>
          <t>Đã duyệt tại cuộc họp 05/10, biên bản số 12/BB-TP</t>
        </is>
      </c>
      <c r="G22" s="14" t="inlineStr">
        <is>
          <t>Mrs Nghĩa</t>
        </is>
      </c>
    </row>
    <row r="24">
      <c r="A24" s="15" t="inlineStr">
        <is>
          <t>BỐN ĐIỂM CẦN LƯU Ý TRƯỚC KHI ĐIỀN</t>
        </is>
      </c>
    </row>
    <row r="25" ht="28" customHeight="1">
      <c r="A25" s="5" t="inlineStr">
        <is>
          <t>• Nhóm ① Tri thức hiện đã phủ gần đủ. Đây KHÔNG phải phần đang chặn tiến độ.</t>
        </is>
      </c>
    </row>
    <row r="26" ht="28" customHeight="1">
      <c r="A26" s="5" t="inlineStr">
        <is>
          <t>• Nhóm ② Quy trình hiện trạng và quy trình đích gần như trống hoàn toàn. ĐÂY MỚI LÀ PHẦN CHẶN CNTT ước lượng effort.</t>
        </is>
      </c>
    </row>
    <row r="27" ht="28" customHeight="1">
      <c r="A27" s="5" t="inlineStr">
        <is>
          <t>• Bộ tiêu chí đánh giá chất lượng AI chưa có cho cả ba trợ lý. Lưu ý phân biệt với tiêu chí chấm NHÂN VIÊN (đã có) — đây là tiêu chí chấm chính con AI.</t>
        </is>
      </c>
    </row>
    <row r="28" ht="28" customHeight="1">
      <c r="A28" s="5" t="inlineStr">
        <is>
          <t>• Bộ mẫu vàng (gold set) có thể đã có sẵn trong file "Chấm điểm 100 mẫu" của Mrs Nghĩa — nên kiểm tra trước khi làm lại từ đầu.</t>
        </is>
      </c>
    </row>
  </sheetData>
  <mergeCells count="18">
    <mergeCell ref="B16:G16"/>
    <mergeCell ref="B10:G10"/>
    <mergeCell ref="A1:G1"/>
    <mergeCell ref="B5:G5"/>
    <mergeCell ref="B14:G14"/>
    <mergeCell ref="A27:G27"/>
    <mergeCell ref="A28:G28"/>
    <mergeCell ref="B17:G17"/>
    <mergeCell ref="B9:G9"/>
    <mergeCell ref="B8:G8"/>
    <mergeCell ref="A26:G26"/>
    <mergeCell ref="A2:G2"/>
    <mergeCell ref="B18:G18"/>
    <mergeCell ref="A25:G25"/>
    <mergeCell ref="B15:G15"/>
    <mergeCell ref="B7:G7"/>
    <mergeCell ref="B11:G11"/>
    <mergeCell ref="B6:G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7" customWidth="1" min="2" max="2"/>
    <col width="35" customWidth="1" min="3" max="3"/>
    <col width="12" customWidth="1" min="4" max="4"/>
    <col width="48" customWidth="1" min="5" max="5"/>
    <col width="28" customWidth="1" min="6" max="6"/>
    <col width="55" customWidth="1" min="7" max="7"/>
    <col width="42" customWidth="1" min="8" max="8"/>
    <col width="18" customWidth="1" min="9" max="9"/>
    <col width="14" customWidth="1" min="10" max="10"/>
  </cols>
  <sheetData>
    <row r="1" ht="24" customHeight="1">
      <c r="A1" s="1" t="inlineStr">
        <is>
          <t>TRỢ LÝ / HỆ THỐNG AI QC</t>
        </is>
      </c>
    </row>
    <row r="2" ht="32" customHeight="1">
      <c r="A2" s="2" t="inlineStr">
        <is>
          <t>Đọc hội thoại trực page và telesale → chấm điểm theo bộ tiêu chí → phân loại → phân rã lỗi theo nhân viên → đề xuất đào tạo. Đây là trợ lý DUY NHẤT trong ba cái không chạm nội dung gửi khách.</t>
        </is>
      </c>
    </row>
    <row r="4" ht="36" customHeight="1">
      <c r="A4" s="11" t="inlineStr">
        <is>
          <t>STT</t>
        </is>
      </c>
      <c r="B4" s="11" t="inlineStr">
        <is>
          <t>Nhóm</t>
        </is>
      </c>
      <c r="C4" s="11" t="inlineStr">
        <is>
          <t>Hạng mục cần cung cấp</t>
        </is>
      </c>
      <c r="D4" s="11" t="inlineStr">
        <is>
          <t>Trạng thái</t>
        </is>
      </c>
      <c r="E4" s="11" t="inlineStr">
        <is>
          <t>Nội dung đã có</t>
        </is>
      </c>
      <c r="F4" s="11" t="inlineStr">
        <is>
          <t>Nguồn tài liệu</t>
        </is>
      </c>
      <c r="G4" s="11" t="inlineStr">
        <is>
          <t>Còn thiếu — cần bổ sung</t>
        </is>
      </c>
      <c r="H4" s="11" t="inlineStr">
        <is>
          <t>NỘI DUNG BỔ SUNG</t>
        </is>
      </c>
      <c r="I4" s="11" t="inlineStr">
        <is>
          <t>NGƯỜI PHỤ TRÁCH</t>
        </is>
      </c>
      <c r="J4" s="11" t="inlineStr">
        <is>
          <t>DEADLINE</t>
        </is>
      </c>
    </row>
    <row r="5" ht="44" customHeight="1">
      <c r="A5" s="16" t="n">
        <v>1</v>
      </c>
      <c r="B5" s="17" t="inlineStr">
        <is>
          <t>① Tri thức + tiêu chí đánh giá AI</t>
        </is>
      </c>
      <c r="C5" s="18" t="inlineStr">
        <is>
          <t>Bộ tiêu chí chấm hội thoại (rubric)</t>
        </is>
      </c>
      <c r="D5" s="19" t="inlineStr">
        <is>
          <t>Đã có</t>
        </is>
      </c>
      <c r="E5" s="13" t="inlineStr">
        <is>
          <t>Bảng 10 tiêu chí, chuẩn đạt ≥ 8/10. Tiêu chí ⑨ "không dùng từ cấm" vi phạm là toàn hội thoại 0 điểm, bất kể 9 tiêu chí kia.</t>
        </is>
      </c>
      <c r="F5" s="13" t="inlineStr">
        <is>
          <t>Playbook Trực Page T10 · K8 §6</t>
        </is>
      </c>
      <c r="G5" s="13" t="inlineStr">
        <is>
          <t>Cần văn bản xác nhận đây là bản ĐÃ DUYỆT để dùng đánh giá nhân sự.</t>
        </is>
      </c>
      <c r="H5" s="14" t="n"/>
      <c r="I5" s="14" t="n"/>
      <c r="J5" s="14" t="n"/>
    </row>
    <row r="6" ht="44" customHeight="1">
      <c r="A6" s="16" t="n">
        <v>2</v>
      </c>
      <c r="B6" s="17" t="inlineStr">
        <is>
          <t>① Tri thức + tiêu chí đánh giá AI</t>
        </is>
      </c>
      <c r="C6" s="18" t="inlineStr">
        <is>
          <t>Danh sách từ cấm</t>
        </is>
      </c>
      <c r="D6" s="19" t="inlineStr">
        <is>
          <t>Đã có</t>
        </is>
      </c>
      <c r="E6" s="13" t="inlineStr">
        <is>
          <t>cam kết 100% · tốt nhất · không đau · an toàn tuyệt đối</t>
        </is>
      </c>
      <c r="F6" s="13" t="inlineStr">
        <is>
          <t>Playbook T10 · K8 §2</t>
        </is>
      </c>
      <c r="G6" s="13" t="inlineStr">
        <is>
          <t>Xác nhận danh sách đã đầy đủ, có cần bổ sung từ nào không.</t>
        </is>
      </c>
      <c r="H6" s="14" t="n"/>
      <c r="I6" s="14" t="n"/>
      <c r="J6" s="14" t="n"/>
    </row>
    <row r="7" ht="44" customHeight="1">
      <c r="A7" s="16" t="n">
        <v>3</v>
      </c>
      <c r="B7" s="17" t="inlineStr">
        <is>
          <t>① Tri thức + tiêu chí đánh giá AI</t>
        </is>
      </c>
      <c r="C7" s="18" t="inlineStr">
        <is>
          <t>Khung hội thoại chuẩn 5 bước B1–B5</t>
        </is>
      </c>
      <c r="D7" s="19" t="inlineStr">
        <is>
          <t>Đã có</t>
        </is>
      </c>
      <c r="E7" s="13" t="inlineStr">
        <is>
          <t>B1 Mở · B2 Khám phá (thu đủ 3 thông tin) · B3 Tạo tin cậy · B4 Xin số có lý do · B5 Xác nhận tên Telesale, số gọi, giờ gọi.</t>
        </is>
      </c>
      <c r="F7" s="13" t="inlineStr">
        <is>
          <t>Tab "Kịch bản tiêu chuẩn" · K8 §2</t>
        </is>
      </c>
      <c r="G7" s="13" t="inlineStr">
        <is>
          <t>Phân biệt page Bệnh viện và page Local chưa được đưa vào tiêu chí chấm.</t>
        </is>
      </c>
      <c r="H7" s="14" t="n"/>
      <c r="I7" s="14" t="n"/>
      <c r="J7" s="14" t="n"/>
    </row>
    <row r="8" ht="44" customHeight="1">
      <c r="A8" s="16" t="n">
        <v>4</v>
      </c>
      <c r="B8" s="17" t="inlineStr">
        <is>
          <t>① Tri thức + tiêu chí đánh giá AI</t>
        </is>
      </c>
      <c r="C8" s="18" t="inlineStr">
        <is>
          <t>Bộ lỗi cấm và quy tắc tư vấn</t>
        </is>
      </c>
      <c r="D8" s="19" t="inlineStr">
        <is>
          <t>Đã có</t>
        </is>
      </c>
      <c r="E8" s="13" t="inlineStr">
        <is>
          <t>8 lỗi cấm + 8 quy tắc vàng + luồng 7 bước hội thoại chuẩn.</t>
        </is>
      </c>
      <c r="F8" s="13" t="inlineStr">
        <is>
          <t>Tab "2. Thúc đẩy Chuyển đổi" · K5</t>
        </is>
      </c>
      <c r="G8" s="13" t="inlineStr"/>
      <c r="H8" s="14" t="n"/>
      <c r="I8" s="14" t="n"/>
      <c r="J8" s="14" t="n"/>
    </row>
    <row r="9" ht="44" customHeight="1">
      <c r="A9" s="16" t="n">
        <v>5</v>
      </c>
      <c r="B9" s="17" t="inlineStr">
        <is>
          <t>① Tri thức + tiêu chí đánh giá AI</t>
        </is>
      </c>
      <c r="C9" s="18" t="inlineStr">
        <is>
          <t>Taxonomy trạng thái L1–L6</t>
        </is>
      </c>
      <c r="D9" s="19" t="inlineStr">
        <is>
          <t>Đã có</t>
        </is>
      </c>
      <c r="E9" s="13" t="inlineStr">
        <is>
          <t>16 mã trạng thái, dùng để gán trạng thái cuối hội thoại.</t>
        </is>
      </c>
      <c r="F9" s="13" t="inlineStr">
        <is>
          <t>Tab "Vận hành xử lý dữ liệu" · K6 §2</t>
        </is>
      </c>
      <c r="G9" s="13" t="inlineStr"/>
      <c r="H9" s="14" t="n"/>
      <c r="I9" s="14" t="n"/>
      <c r="J9" s="14" t="n"/>
    </row>
    <row r="10" ht="44" customHeight="1">
      <c r="A10" s="16" t="n">
        <v>6</v>
      </c>
      <c r="B10" s="17" t="inlineStr">
        <is>
          <t>① Tri thức + tiêu chí đánh giá AI</t>
        </is>
      </c>
      <c r="C10" s="18" t="inlineStr">
        <is>
          <t>Phiếu bàn giao 12 trường</t>
        </is>
      </c>
      <c r="D10" s="19" t="inlineStr">
        <is>
          <t>Đã có</t>
        </is>
      </c>
      <c r="E10" s="13" t="inlineStr">
        <is>
          <t>Dùng để chấm tiêu chí ⑧ "đã lập phiếu bàn giao đủ trường".</t>
        </is>
      </c>
      <c r="F10" s="13" t="inlineStr">
        <is>
          <t>Playbook T10 · K8 §4</t>
        </is>
      </c>
      <c r="G10" s="13" t="inlineStr"/>
      <c r="H10" s="14" t="n"/>
      <c r="I10" s="14" t="n"/>
      <c r="J10" s="14" t="n"/>
    </row>
    <row r="11" ht="44" customHeight="1">
      <c r="A11" s="16" t="n">
        <v>7</v>
      </c>
      <c r="B11" s="17" t="inlineStr">
        <is>
          <t>① Tri thức + tiêu chí đánh giá AI</t>
        </is>
      </c>
      <c r="C11" s="18" t="inlineStr">
        <is>
          <t>Nguồn dữ liệu hội thoại và định dạng</t>
        </is>
      </c>
      <c r="D11" s="20" t="inlineStr">
        <is>
          <t>Chưa có</t>
        </is>
      </c>
      <c r="E11" s="13" t="inlineStr"/>
      <c r="F11" s="13" t="inlineStr"/>
      <c r="G11" s="13" t="inlineStr">
        <is>
          <t>Hội thoại lấy từ đâu (Caresoft?), xuất dạng gì. QUAN TRỌNG: có DẤU THỜI GIAN từng tin nhắn không — tiêu chí ① đo "phản hồi trong 2 phút", không có timestamp thì tiêu chí đó không chấm được.</t>
        </is>
      </c>
      <c r="H11" s="14" t="n"/>
      <c r="I11" s="14" t="n"/>
      <c r="J11" s="14" t="n"/>
    </row>
    <row r="12" ht="44" customHeight="1">
      <c r="A12" s="16" t="n">
        <v>8</v>
      </c>
      <c r="B12" s="17" t="inlineStr">
        <is>
          <t>① Tri thức + tiêu chí đánh giá AI</t>
        </is>
      </c>
      <c r="C12" s="18" t="inlineStr">
        <is>
          <t>BỘ TIÊU CHÍ ĐÁNH GIÁ CHẤT LƯỢNG AI</t>
        </is>
      </c>
      <c r="D12" s="20" t="inlineStr">
        <is>
          <t>Chưa có</t>
        </is>
      </c>
      <c r="E12" s="13" t="inlineStr">
        <is>
          <t>Khung đề xuất: khớp điểm với QC người lệch ≤ 1 điểm ở ≥ 90% hội thoại · bắt đúng từ cấm 100% · chấm oan ≤ 5% · gán đúng mã trạng thái ≥ 90% · trích dẫn bằng chứng 100% · chấm lại cùng hội thoại lệch ≤ 1 điểm.</t>
        </is>
      </c>
      <c r="F12" s="13" t="inlineStr">
        <is>
          <t>Khung do đội dự án đề xuất — chưa được duyệt</t>
        </is>
      </c>
      <c r="G12" s="13" t="inlineStr">
        <is>
          <t>Kangnam chốt ngưỡng chính thức. LƯU Ý: đây là tiêu chí chấm CON AI, khác với tiêu chí chấm NHÂN VIÊN ở các dòng trên.</t>
        </is>
      </c>
      <c r="H12" s="14" t="n"/>
      <c r="I12" s="14" t="n"/>
      <c r="J12" s="14" t="n"/>
    </row>
    <row r="13" ht="44" customHeight="1">
      <c r="A13" s="16" t="n">
        <v>9</v>
      </c>
      <c r="B13" s="17" t="inlineStr">
        <is>
          <t>① Tri thức + tiêu chí đánh giá AI</t>
        </is>
      </c>
      <c r="C13" s="18" t="inlineStr">
        <is>
          <t>Bộ mẫu vàng (gold set)</t>
        </is>
      </c>
      <c r="D13" s="21" t="inlineStr">
        <is>
          <t>Một phần</t>
        </is>
      </c>
      <c r="E13" s="13" t="inlineStr">
        <is>
          <t>Kế hoạch công việc có đầu việc "Audit kịch bản tư vấn nhân viên — 100 mẫu", output là "File chấm điểm 100 mẫu + bảng tổng hợp lỗi", giao Mrs Nghĩa.</t>
        </is>
      </c>
      <c r="F13" s="13" t="inlineStr">
        <is>
          <t>Tab "Trang tính8"</t>
        </is>
      </c>
      <c r="G13" s="13" t="inlineStr">
        <is>
          <t>Xác nhận file đã hoàn thành chưa. Nếu có thì xin file và xác nhận đây là bản đã duyệt — KHÔNG cần làm lại từ đầu.</t>
        </is>
      </c>
      <c r="H13" s="14" t="n"/>
      <c r="I13" s="14" t="n"/>
      <c r="J13" s="14" t="n"/>
    </row>
    <row r="14" ht="44" customHeight="1">
      <c r="A14" s="16" t="n">
        <v>10</v>
      </c>
      <c r="B14" s="17" t="inlineStr">
        <is>
          <t>② Quy trình AS-IS / TO-BE</t>
        </is>
      </c>
      <c r="C14" s="18" t="inlineStr">
        <is>
          <t>Quy trình QC hiện trạng (AS-IS)</t>
        </is>
      </c>
      <c r="D14" s="20" t="inlineStr">
        <is>
          <t>Chưa có</t>
        </is>
      </c>
      <c r="E14" s="13" t="inlineStr"/>
      <c r="F14" s="13" t="inlineStr"/>
      <c r="G14" s="13" t="inlineStr">
        <is>
          <t>Hiện ai làm QC, mấy người, chấm theo rubric nào. Phủ bao nhiêu % hội thoại mỗi ngày, chọn mẫu thế nào. Mất bao lâu chấm một hội thoại. Bao lâu từ lúc hội thoại xảy ra đến khi nhân viên nhận phản hồi. Kết quả lưu ở đâu, dùng vào việc gì. Nhân viên có quyền khiếu nại không, ai xử lý.</t>
        </is>
      </c>
      <c r="H14" s="14" t="n"/>
      <c r="I14" s="14" t="n"/>
      <c r="J14" s="14" t="n"/>
    </row>
    <row r="15" ht="44" customHeight="1">
      <c r="A15" s="16" t="n">
        <v>11</v>
      </c>
      <c r="B15" s="17" t="inlineStr">
        <is>
          <t>② Quy trình AS-IS / TO-BE</t>
        </is>
      </c>
      <c r="C15" s="18" t="inlineStr">
        <is>
          <t>Quy trình đích có AI (TO-BE)</t>
        </is>
      </c>
      <c r="D15" s="20" t="inlineStr">
        <is>
          <t>Chưa có</t>
        </is>
      </c>
      <c r="E15" s="13" t="inlineStr"/>
      <c r="F15" s="13" t="inlineStr"/>
      <c r="G15" s="13" t="inlineStr">
        <is>
          <t>AI chấm 100% hội thoại hay chỉ sàng lọc. QC người chuyển sang phúc tra mẫu hay vẫn chấm như cũ. Ngưỡng nào thì tự động đẩy lên người xem lại.</t>
        </is>
      </c>
      <c r="H15" s="14" t="n"/>
      <c r="I15" s="14" t="n"/>
      <c r="J15" s="14" t="n"/>
    </row>
    <row r="16" ht="44" customHeight="1">
      <c r="A16" s="16" t="n">
        <v>12</v>
      </c>
      <c r="B16" s="17" t="inlineStr">
        <is>
          <t>② Quy trình AS-IS / TO-BE</t>
        </is>
      </c>
      <c r="C16" s="18" t="inlineStr">
        <is>
          <t>Điểm AI có dùng đánh giá nhân sự chính thức không</t>
        </is>
      </c>
      <c r="D16" s="20" t="inlineStr">
        <is>
          <t>Chưa có</t>
        </is>
      </c>
      <c r="E16" s="13" t="inlineStr"/>
      <c r="F16" s="13" t="inlineStr"/>
      <c r="G16" s="13" t="inlineStr">
        <is>
          <t>QUYẾT ĐỊNH QUAN TRỌNG — ảnh hưởng trực tiếp tới mức chính xác bắt buộc và quy trình khiếu nại. Cần chốt sớm.</t>
        </is>
      </c>
      <c r="H16" s="14" t="n"/>
      <c r="I16" s="14" t="n"/>
      <c r="J16" s="14" t="n"/>
    </row>
    <row r="17" ht="44" customHeight="1">
      <c r="A17" s="16" t="n">
        <v>13</v>
      </c>
      <c r="B17" s="17" t="inlineStr">
        <is>
          <t>② Quy trình AS-IS / TO-BE</t>
        </is>
      </c>
      <c r="C17" s="18" t="inlineStr">
        <is>
          <t>Điểm tích hợp hệ thống</t>
        </is>
      </c>
      <c r="D17" s="20" t="inlineStr">
        <is>
          <t>Chưa có</t>
        </is>
      </c>
      <c r="E17" s="13" t="inlineStr"/>
      <c r="F17" s="13" t="inlineStr"/>
      <c r="G17" s="13" t="inlineStr">
        <is>
          <t>AI đọc hội thoại qua API hay qua file xuất định kỳ. Có ghi ngược kết quả vào Caresoft không, bằng quyền gì.</t>
        </is>
      </c>
      <c r="H17" s="14" t="n"/>
      <c r="I17" s="14" t="n"/>
      <c r="J17" s="14" t="n"/>
    </row>
    <row r="18" ht="44" customHeight="1">
      <c r="A18" s="16" t="n">
        <v>14</v>
      </c>
      <c r="B18" s="17" t="inlineStr">
        <is>
          <t>② Quy trình AS-IS / TO-BE</t>
        </is>
      </c>
      <c r="C18" s="18" t="inlineStr">
        <is>
          <t>Trường dữ liệu và enum</t>
        </is>
      </c>
      <c r="D18" s="20" t="inlineStr">
        <is>
          <t>Chưa có</t>
        </is>
      </c>
      <c r="E18" s="13" t="inlineStr"/>
      <c r="F18" s="13" t="inlineStr"/>
      <c r="G18" s="13" t="inlineStr">
        <is>
          <t>Danh sách trường của bản ghi chấm điểm, kiểu dữ liệu, giá trị hợp lệ.</t>
        </is>
      </c>
      <c r="H18" s="14" t="n"/>
      <c r="I18" s="14" t="n"/>
      <c r="J18" s="14" t="n"/>
    </row>
    <row r="19" ht="44" customHeight="1">
      <c r="A19" s="16" t="n">
        <v>15</v>
      </c>
      <c r="B19" s="17" t="inlineStr">
        <is>
          <t>② Quy trình AS-IS / TO-BE</t>
        </is>
      </c>
      <c r="C19" s="18" t="inlineStr">
        <is>
          <t>Sự kiện cần ghi log</t>
        </is>
      </c>
      <c r="D19" s="20" t="inlineStr">
        <is>
          <t>Chưa có</t>
        </is>
      </c>
      <c r="E19" s="13" t="inlineStr"/>
      <c r="F19" s="13" t="inlineStr"/>
      <c r="G19" s="13" t="inlineStr">
        <is>
          <t>Để tính được các chỉ số ở nhóm ④. Thiếu sự kiện nào thì chỉ số tương ứng không tính được.</t>
        </is>
      </c>
      <c r="H19" s="14" t="n"/>
      <c r="I19" s="14" t="n"/>
      <c r="J19" s="14" t="n"/>
    </row>
    <row r="20" ht="44" customHeight="1">
      <c r="A20" s="16" t="n">
        <v>16</v>
      </c>
      <c r="B20" s="17" t="inlineStr">
        <is>
          <t>② Quy trình AS-IS / TO-BE</t>
        </is>
      </c>
      <c r="C20" s="18" t="inlineStr">
        <is>
          <t>Xử lý ngoại lệ</t>
        </is>
      </c>
      <c r="D20" s="20" t="inlineStr">
        <is>
          <t>Chưa có</t>
        </is>
      </c>
      <c r="E20" s="13" t="inlineStr"/>
      <c r="F20" s="13" t="inlineStr"/>
      <c r="G20" s="13" t="inlineStr">
        <is>
          <t>AI không chắc chắn thì sao. Dữ liệu thiếu dấu thời gian thì sao. Hệ thống lỗi thì quay về quy trình tay thế nào.</t>
        </is>
      </c>
      <c r="H20" s="14" t="n"/>
      <c r="I20" s="14" t="n"/>
      <c r="J20" s="14" t="n"/>
    </row>
    <row r="21" ht="44" customHeight="1">
      <c r="A21" s="16" t="n">
        <v>17</v>
      </c>
      <c r="B21" s="17" t="inlineStr">
        <is>
          <t>③ Đối tượng sử dụng</t>
        </is>
      </c>
      <c r="C21" s="18" t="inlineStr">
        <is>
          <t>Danh sách nhân sự trực page</t>
        </is>
      </c>
      <c r="D21" s="21" t="inlineStr">
        <is>
          <t>Một phần</t>
        </is>
      </c>
      <c r="E21" s="13" t="inlineStr">
        <is>
          <t>Có danh sách chia nhóm A/B/C/D kèm mentor và điểm 3 khâu phễu.</t>
        </is>
      </c>
      <c r="F21" s="13" t="inlineStr">
        <is>
          <t>Playbook T10 · K8 §1</t>
        </is>
      </c>
      <c r="G21" s="13" t="inlineStr">
        <is>
          <t>Chốt số lượng (tài liệu gốc ghi 15, bộ module ghi 17). Bổ sung ca làm việc và khối lượng xử lý mỗi ca.</t>
        </is>
      </c>
      <c r="H21" s="14" t="n"/>
      <c r="I21" s="14" t="n"/>
      <c r="J21" s="14" t="n"/>
    </row>
    <row r="22" ht="44" customHeight="1">
      <c r="A22" s="16" t="n">
        <v>18</v>
      </c>
      <c r="B22" s="17" t="inlineStr">
        <is>
          <t>③ Đối tượng sử dụng</t>
        </is>
      </c>
      <c r="C22" s="18" t="inlineStr">
        <is>
          <t>Vai trò trong quy trình QC</t>
        </is>
      </c>
      <c r="D22" s="20" t="inlineStr">
        <is>
          <t>Chưa có</t>
        </is>
      </c>
      <c r="E22" s="13" t="inlineStr"/>
      <c r="F22" s="13" t="inlineStr"/>
      <c r="G22" s="13" t="inlineStr">
        <is>
          <t>Ai chấm, ai phúc tra, ai xử lý khiếu nại, ai nhận báo cáo đào tạo — kèm số lượng người từng vai trò.</t>
        </is>
      </c>
      <c r="H22" s="14" t="n"/>
      <c r="I22" s="14" t="n"/>
      <c r="J22" s="14" t="n"/>
    </row>
    <row r="23" ht="44" customHeight="1">
      <c r="A23" s="16" t="n">
        <v>19</v>
      </c>
      <c r="B23" s="17" t="inlineStr">
        <is>
          <t>③ Đối tượng sử dụng</t>
        </is>
      </c>
      <c r="C23" s="18" t="inlineStr">
        <is>
          <t>Phân quyền</t>
        </is>
      </c>
      <c r="D23" s="20" t="inlineStr">
        <is>
          <t>Chưa có</t>
        </is>
      </c>
      <c r="E23" s="13" t="inlineStr"/>
      <c r="F23" s="13" t="inlineStr"/>
      <c r="G23" s="13" t="inlineStr">
        <is>
          <t>Vai trò nào xem được gì, sửa được gì, duyệt được gì.</t>
        </is>
      </c>
      <c r="H23" s="14" t="n"/>
      <c r="I23" s="14" t="n"/>
      <c r="J23" s="14" t="n"/>
    </row>
    <row r="24" ht="44" customHeight="1">
      <c r="A24" s="16" t="n">
        <v>20</v>
      </c>
      <c r="B24" s="17" t="inlineStr">
        <is>
          <t>③ Đối tượng sử dụng</t>
        </is>
      </c>
      <c r="C24" s="18" t="inlineStr">
        <is>
          <t>Quy định về dữ liệu nhân sự</t>
        </is>
      </c>
      <c r="D24" s="20" t="inlineStr">
        <is>
          <t>Chưa có</t>
        </is>
      </c>
      <c r="E24" s="13" t="inlineStr"/>
      <c r="F24" s="13" t="inlineStr"/>
      <c r="G24" s="13" t="inlineStr">
        <is>
          <t>Ai được xem đánh giá hiệu suất có tên. Lưu ở đâu, giữ bao lâu. Ràng buộc không để lọt vào nội dung gửi khách.</t>
        </is>
      </c>
      <c r="H24" s="14" t="n"/>
      <c r="I24" s="14" t="n"/>
      <c r="J24" s="14" t="n"/>
    </row>
    <row r="25" ht="44" customHeight="1">
      <c r="A25" s="16" t="n">
        <v>21</v>
      </c>
      <c r="B25" s="17" t="inlineStr">
        <is>
          <t>④ Mục tiêu &amp; hiệu quả</t>
        </is>
      </c>
      <c r="C25" s="18" t="inlineStr">
        <is>
          <t>Baseline — điểm chấm hội thoại hiện tại</t>
        </is>
      </c>
      <c r="D25" s="20" t="inlineStr">
        <is>
          <t>Chưa có</t>
        </is>
      </c>
      <c r="E25" s="13" t="inlineStr"/>
      <c r="F25" s="13" t="inlineStr"/>
      <c r="G25" s="13" t="inlineStr">
        <is>
          <t>Nằm trong file chấm 100 mẫu nếu file đó đã làm xong.</t>
        </is>
      </c>
      <c r="H25" s="14" t="n"/>
      <c r="I25" s="14" t="n"/>
      <c r="J25" s="14" t="n"/>
    </row>
    <row r="26" ht="44" customHeight="1">
      <c r="A26" s="16" t="n">
        <v>22</v>
      </c>
      <c r="B26" s="17" t="inlineStr">
        <is>
          <t>④ Mục tiêu &amp; hiệu quả</t>
        </is>
      </c>
      <c r="C26" s="18" t="inlineStr">
        <is>
          <t>Baseline — tỷ lệ hội thoại được QC</t>
        </is>
      </c>
      <c r="D26" s="20" t="inlineStr">
        <is>
          <t>Chưa có</t>
        </is>
      </c>
      <c r="E26" s="13" t="inlineStr"/>
      <c r="F26" s="13" t="inlineStr"/>
      <c r="G26" s="13" t="inlineStr">
        <is>
          <t>Hiện bao nhiêu % hội thoại mỗi ngày được chấm.</t>
        </is>
      </c>
      <c r="H26" s="14" t="n"/>
      <c r="I26" s="14" t="n"/>
      <c r="J26" s="14" t="n"/>
    </row>
    <row r="27" ht="44" customHeight="1">
      <c r="A27" s="16" t="n">
        <v>23</v>
      </c>
      <c r="B27" s="17" t="inlineStr">
        <is>
          <t>④ Mục tiêu &amp; hiệu quả</t>
        </is>
      </c>
      <c r="C27" s="18" t="inlineStr">
        <is>
          <t>Baseline — thời gian chấm và thời gian phản hồi</t>
        </is>
      </c>
      <c r="D27" s="20" t="inlineStr">
        <is>
          <t>Chưa có</t>
        </is>
      </c>
      <c r="E27" s="13" t="inlineStr"/>
      <c r="F27" s="13" t="inlineStr"/>
      <c r="G27" s="13" t="inlineStr">
        <is>
          <t>Số phút cho một hội thoại. Số giờ từ lúc hội thoại đến lúc nhân viên nhận phản hồi.</t>
        </is>
      </c>
      <c r="H27" s="14" t="n"/>
      <c r="I27" s="14" t="n"/>
      <c r="J27" s="14" t="n"/>
    </row>
    <row r="28" ht="44" customHeight="1">
      <c r="A28" s="16" t="n">
        <v>24</v>
      </c>
      <c r="B28" s="17" t="inlineStr">
        <is>
          <t>④ Mục tiêu &amp; hiệu quả</t>
        </is>
      </c>
      <c r="C28" s="18" t="inlineStr">
        <is>
          <t>Mục tiêu</t>
        </is>
      </c>
      <c r="D28" s="19" t="inlineStr">
        <is>
          <t>Đã có</t>
        </is>
      </c>
      <c r="E28" s="13" t="inlineStr">
        <is>
          <t>Điểm chấm hội thoại ≥ 8/10.</t>
        </is>
      </c>
      <c r="F28" s="13" t="inlineStr">
        <is>
          <t>Playbook T10 · K8 §8</t>
        </is>
      </c>
      <c r="G28" s="13" t="inlineStr">
        <is>
          <t>Bổ sung mục tiêu về độ phủ QC và thời gian phản hồi.</t>
        </is>
      </c>
      <c r="H28" s="14" t="n"/>
      <c r="I28" s="14" t="n"/>
      <c r="J28" s="14" t="n"/>
    </row>
    <row r="29" ht="44" customHeight="1">
      <c r="A29" s="16" t="n">
        <v>25</v>
      </c>
      <c r="B29" s="17" t="inlineStr">
        <is>
          <t>④ Mục tiêu &amp; hiệu quả</t>
        </is>
      </c>
      <c r="C29" s="18" t="inlineStr">
        <is>
          <t>Quy đổi hiệu quả</t>
        </is>
      </c>
      <c r="D29" s="20" t="inlineStr">
        <is>
          <t>Chưa có</t>
        </is>
      </c>
      <c r="E29" s="13" t="inlineStr"/>
      <c r="F29" s="13" t="inlineStr"/>
      <c r="G29" s="13" t="inlineStr">
        <is>
          <t>Người-giờ tiết kiệm được mỗi tháng. Giá trị quy đổi — cần để báo cáo duyệt ngân sách.</t>
        </is>
      </c>
      <c r="H29" s="14" t="n"/>
      <c r="I29" s="14" t="n"/>
      <c r="J29" s="14" t="n"/>
    </row>
    <row r="30" ht="44" customHeight="1">
      <c r="A30" s="16" t="n">
        <v>26</v>
      </c>
      <c r="B30" s="17" t="inlineStr">
        <is>
          <t>④ Mục tiêu &amp; hiệu quả</t>
        </is>
      </c>
      <c r="C30" s="18" t="inlineStr">
        <is>
          <t>Điểm ưu tiên triển khai</t>
        </is>
      </c>
      <c r="D30" s="21" t="inlineStr">
        <is>
          <t>Một phần</t>
        </is>
      </c>
      <c r="E30" s="13" t="inlineStr">
        <is>
          <t>Đề xuất ƯU TIÊN 1. Lý do: không chạm nội dung gửi khách nên rủi ro thấp nhất · tri thức đã chốt, dùng được ngay · tạo ra dữ liệu đo lường cho cả hệ thống, thứ mà hai trợ lý kia đang thiếu.</t>
        </is>
      </c>
      <c r="F30" s="13" t="inlineStr">
        <is>
          <t>Đề xuất của đội dự án</t>
        </is>
      </c>
      <c r="G30" s="13" t="inlineStr">
        <is>
          <t>Kangnam và CNTT xác nhận.</t>
        </is>
      </c>
      <c r="H30" s="14" t="n"/>
      <c r="I30" s="14" t="n"/>
      <c r="J30" s="14" t="n"/>
    </row>
    <row r="32">
      <c r="C32" s="22" t="inlineStr">
        <is>
          <t>Tổng số hạng mục</t>
        </is>
      </c>
      <c r="D32" s="23">
        <f>COUNTA(C5:C30)</f>
        <v/>
      </c>
    </row>
    <row r="33">
      <c r="C33" s="22" t="inlineStr">
        <is>
          <t>Đã bổ sung (số ô cột H đã điền)</t>
        </is>
      </c>
      <c r="D33" s="23">
        <f>COUNTA(H5:H30)</f>
        <v/>
      </c>
    </row>
    <row r="34">
      <c r="C34" s="22" t="inlineStr">
        <is>
          <t>Còn lại chưa bổ sung</t>
        </is>
      </c>
      <c r="D34" s="23">
        <f>D32-D33</f>
        <v/>
      </c>
    </row>
    <row r="36">
      <c r="C36" s="24" t="inlineStr">
        <is>
          <t>Ghi chú: cột D nhận 3 giá trị — Đã có / Một phần / Chưa có. Cập nhật lại cột D khi đã bổ sung xong tài liệu.</t>
        </is>
      </c>
    </row>
  </sheetData>
  <mergeCells count="2">
    <mergeCell ref="A1:J1"/>
    <mergeCell ref="A2:J2"/>
  </mergeCells>
  <dataValidations count="1">
    <dataValidation sqref="D5 D6 D7 D8 D9 D10 D11 D12 D13 D14 D15 D16 D17 D18 D19 D20 D21 D22 D23 D24 D25 D26 D27 D28 D29 D30" showDropDown="0" showInputMessage="0" showErrorMessage="0" allowBlank="1" type="list">
      <formula1>"Đã có,Một phần,Chưa có"</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1"/>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7" customWidth="1" min="2" max="2"/>
    <col width="35" customWidth="1" min="3" max="3"/>
    <col width="12" customWidth="1" min="4" max="4"/>
    <col width="48" customWidth="1" min="5" max="5"/>
    <col width="28" customWidth="1" min="6" max="6"/>
    <col width="55" customWidth="1" min="7" max="7"/>
    <col width="42" customWidth="1" min="8" max="8"/>
    <col width="18" customWidth="1" min="9" max="9"/>
    <col width="14" customWidth="1" min="10" max="10"/>
  </cols>
  <sheetData>
    <row r="1" ht="24" customHeight="1">
      <c r="A1" s="1" t="inlineStr">
        <is>
          <t>TRỢ LÝ / HỆ THỐNG AI NHẮC LỊCH VÀ TẠO NỘI DUNG CHĂM SÓC CHO CÁN BỘ TELESALE</t>
        </is>
      </c>
    </row>
    <row r="2" ht="32" customHeight="1">
      <c r="A2" s="2" t="inlineStr">
        <is>
          <t>Từ danh sách khách + trạng thái + mốc gần nhất → sinh lịch "nhắc ai / khi nào / kênh gì" kèm nội dung gợi ý để cán bộ duyệt rồi gửi. Đây là trợ lý SINH NỘI DUNG THẬT SỰ ĐI TỚI KHÁCH — rủi ro cao nhất trong ba cái.</t>
        </is>
      </c>
    </row>
    <row r="4" ht="36" customHeight="1">
      <c r="A4" s="11" t="inlineStr">
        <is>
          <t>STT</t>
        </is>
      </c>
      <c r="B4" s="11" t="inlineStr">
        <is>
          <t>Nhóm</t>
        </is>
      </c>
      <c r="C4" s="11" t="inlineStr">
        <is>
          <t>Hạng mục cần cung cấp</t>
        </is>
      </c>
      <c r="D4" s="11" t="inlineStr">
        <is>
          <t>Trạng thái</t>
        </is>
      </c>
      <c r="E4" s="11" t="inlineStr">
        <is>
          <t>Nội dung đã có</t>
        </is>
      </c>
      <c r="F4" s="11" t="inlineStr">
        <is>
          <t>Nguồn tài liệu</t>
        </is>
      </c>
      <c r="G4" s="11" t="inlineStr">
        <is>
          <t>Còn thiếu — cần bổ sung</t>
        </is>
      </c>
      <c r="H4" s="11" t="inlineStr">
        <is>
          <t>NỘI DUNG BỔ SUNG</t>
        </is>
      </c>
      <c r="I4" s="11" t="inlineStr">
        <is>
          <t>NGƯỜI PHỤ TRÁCH</t>
        </is>
      </c>
      <c r="J4" s="11" t="inlineStr">
        <is>
          <t>DEADLINE</t>
        </is>
      </c>
    </row>
    <row r="5" ht="44" customHeight="1">
      <c r="A5" s="16" t="n">
        <v>1</v>
      </c>
      <c r="B5" s="17" t="inlineStr">
        <is>
          <t>① Tri thức + tiêu chí đánh giá AI</t>
        </is>
      </c>
      <c r="C5" s="18" t="inlineStr">
        <is>
          <t>Chuỗi chăm sóc sau xin số</t>
        </is>
      </c>
      <c r="D5" s="19" t="inlineStr">
        <is>
          <t>Đã có</t>
        </is>
      </c>
      <c r="E5" s="13" t="inlineStr">
        <is>
          <t>T+0 (≤ 2 phút) → T+30 phút → T+2h → T+24h → T+72h → T+7 ngày là lần chạm cuối.</t>
        </is>
      </c>
      <c r="F5" s="13" t="inlineStr">
        <is>
          <t>Playbook T10 · K8 §5</t>
        </is>
      </c>
      <c r="G5" s="13" t="inlineStr"/>
      <c r="H5" s="14" t="n"/>
      <c r="I5" s="14" t="n"/>
      <c r="J5" s="14" t="n"/>
    </row>
    <row r="6" ht="44" customHeight="1">
      <c r="A6" s="16" t="n">
        <v>2</v>
      </c>
      <c r="B6" s="17" t="inlineStr">
        <is>
          <t>① Tri thức + tiêu chí đánh giá AI</t>
        </is>
      </c>
      <c r="C6" s="18" t="inlineStr">
        <is>
          <t>Nhịp theo dõi khách chưa booking</t>
        </is>
      </c>
      <c r="D6" s="19" t="inlineStr">
        <is>
          <t>Đã có</t>
        </is>
      </c>
      <c r="E6" s="13" t="inlineStr">
        <is>
          <t>D+3 → D+7 → D+15.</t>
        </is>
      </c>
      <c r="F6" s="13" t="inlineStr">
        <is>
          <t>Tab "Vận hành xử lý dữ liệu" · K6 §2</t>
        </is>
      </c>
      <c r="G6" s="13" t="inlineStr"/>
      <c r="H6" s="14" t="n"/>
      <c r="I6" s="14" t="n"/>
      <c r="J6" s="14" t="n"/>
    </row>
    <row r="7" ht="44" customHeight="1">
      <c r="A7" s="16" t="n">
        <v>3</v>
      </c>
      <c r="B7" s="17" t="inlineStr">
        <is>
          <t>① Tri thức + tiêu chí đánh giá AI</t>
        </is>
      </c>
      <c r="C7" s="18" t="inlineStr">
        <is>
          <t>Nhịp nuôi dưỡng bằng tài liệu</t>
        </is>
      </c>
      <c r="D7" s="21" t="inlineStr">
        <is>
          <t>Một phần</t>
        </is>
      </c>
      <c r="E7" s="13" t="inlineStr">
        <is>
          <t>N+1 hỏi thăm lại → N+3 gửi profile bác sĩ → N+5 video quy trình → N+7 video hành trình khách thật.</t>
        </is>
      </c>
      <c r="F7" s="13" t="inlineStr">
        <is>
          <t>Tab "2. Thúc đẩy Chuyển đổi" · K5 §6</t>
        </is>
      </c>
      <c r="G7" s="13" t="inlineStr">
        <is>
          <t>Thiếu ĐƯỜNG DẪN tài liệu thực tế. Cần link còn sống và đã được duyệt, cho từng dịch vụ.</t>
        </is>
      </c>
      <c r="H7" s="14" t="n"/>
      <c r="I7" s="14" t="n"/>
      <c r="J7" s="14" t="n"/>
    </row>
    <row r="8" ht="44" customHeight="1">
      <c r="A8" s="16" t="n">
        <v>4</v>
      </c>
      <c r="B8" s="17" t="inlineStr">
        <is>
          <t>① Tri thức + tiêu chí đánh giá AI</t>
        </is>
      </c>
      <c r="C8" s="18" t="inlineStr">
        <is>
          <t>Trần số lần nhắn</t>
        </is>
      </c>
      <c r="D8" s="19" t="inlineStr">
        <is>
          <t>Đã có</t>
        </is>
      </c>
      <c r="E8" s="13" t="inlineStr">
        <is>
          <t>Tối đa 6 lần trong 7 ngày. Khách từ chối là dừng ngay.</t>
        </is>
      </c>
      <c r="F8" s="13" t="inlineStr">
        <is>
          <t>Playbook T10 · K8 §5</t>
        </is>
      </c>
      <c r="G8" s="13" t="inlineStr">
        <is>
          <t>Cần cài thành CHẶN CỨNG ở tầng hệ thống, không phó mặc cho AI tự nhớ.</t>
        </is>
      </c>
      <c r="H8" s="14" t="n"/>
      <c r="I8" s="14" t="n"/>
      <c r="J8" s="14" t="n"/>
    </row>
    <row r="9" ht="44" customHeight="1">
      <c r="A9" s="16" t="n">
        <v>5</v>
      </c>
      <c r="B9" s="17" t="inlineStr">
        <is>
          <t>① Tri thức + tiêu chí đánh giá AI</t>
        </is>
      </c>
      <c r="C9" s="18" t="inlineStr">
        <is>
          <t>Điều kiện thoát</t>
        </is>
      </c>
      <c r="D9" s="19" t="inlineStr">
        <is>
          <t>Đã có</t>
        </is>
      </c>
      <c r="E9" s="13" t="inlineStr">
        <is>
          <t>Booking · từ chối dứt khoát · hết cửa sổ 24h Messenger · quá 30 ngày không tiến triển.</t>
        </is>
      </c>
      <c r="F9" s="13" t="inlineStr">
        <is>
          <t>Tab "Vận hành xử lý dữ liệu" · K6 §5</t>
        </is>
      </c>
      <c r="G9" s="13" t="inlineStr">
        <is>
          <t>Tín hiệu "khách từ chối" nhận biết bằng cách nào — cần định nghĩa máy đọc được.</t>
        </is>
      </c>
      <c r="H9" s="14" t="n"/>
      <c r="I9" s="14" t="n"/>
      <c r="J9" s="14" t="n"/>
    </row>
    <row r="10" ht="44" customHeight="1">
      <c r="A10" s="16" t="n">
        <v>6</v>
      </c>
      <c r="B10" s="17" t="inlineStr">
        <is>
          <t>① Tri thức + tiêu chí đánh giá AI</t>
        </is>
      </c>
      <c r="C10" s="18" t="inlineStr">
        <is>
          <t>Vòng phản hồi Telesale → trực page</t>
        </is>
      </c>
      <c r="D10" s="19" t="inlineStr">
        <is>
          <t>Đã có</t>
        </is>
      </c>
      <c r="E10" s="13" t="inlineStr">
        <is>
          <t>4 trạng thái kèm thời hạn cập nhật và hành động kế tiếp của trực page.</t>
        </is>
      </c>
      <c r="F10" s="13" t="inlineStr">
        <is>
          <t>Playbook T10 · K8 §4</t>
        </is>
      </c>
      <c r="G10" s="13" t="inlineStr"/>
      <c r="H10" s="14" t="n"/>
      <c r="I10" s="14" t="n"/>
      <c r="J10" s="14" t="n"/>
    </row>
    <row r="11" ht="44" customHeight="1">
      <c r="A11" s="16" t="n">
        <v>7</v>
      </c>
      <c r="B11" s="17" t="inlineStr">
        <is>
          <t>① Tri thức + tiêu chí đánh giá AI</t>
        </is>
      </c>
      <c r="C11" s="18" t="inlineStr">
        <is>
          <t>Bank kịch bản nhắc lịch</t>
        </is>
      </c>
      <c r="D11" s="21" t="inlineStr">
        <is>
          <t>Một phần</t>
        </is>
      </c>
      <c r="E11" s="13" t="inlineStr">
        <is>
          <t>Chuỗi gọi nhỡ KB1–KB6 · báo trước khi gọi 15 phút · nuôi dưỡng qua Zalo.</t>
        </is>
      </c>
      <c r="F11" s="13" t="inlineStr">
        <is>
          <t>Tab "2. Thúc đẩy Chuyển đổi" · K5 §7</t>
        </is>
      </c>
      <c r="G11" s="13" t="inlineStr">
        <is>
          <t>Mỗi nhóm thiết kế 16 slot kịch bản nhưng mới điền một phần. Cần bổ sung nội dung cho các slot còn trống.</t>
        </is>
      </c>
      <c r="H11" s="14" t="n"/>
      <c r="I11" s="14" t="n"/>
      <c r="J11" s="14" t="n"/>
    </row>
    <row r="12" ht="44" customHeight="1">
      <c r="A12" s="16" t="n">
        <v>8</v>
      </c>
      <c r="B12" s="17" t="inlineStr">
        <is>
          <t>① Tri thức + tiêu chí đánh giá AI</t>
        </is>
      </c>
      <c r="C12" s="18" t="inlineStr">
        <is>
          <t>Kịch bản chiến dịch tháng</t>
        </is>
      </c>
      <c r="D12" s="19" t="inlineStr">
        <is>
          <t>Đã có</t>
        </is>
      </c>
      <c r="E12" s="13" t="inlineStr">
        <is>
          <t>Kịch bản tháng 10 theo 3 nhóm khách (chưa có số · có số gọi không nghe · đã gọi chưa booking).</t>
        </is>
      </c>
      <c r="F12" s="13" t="inlineStr">
        <is>
          <t>Tab "3. Thúc đẩy Kịch bản CT Tháng" · K7</t>
        </is>
      </c>
      <c r="G12" s="13" t="inlineStr">
        <is>
          <t>Cần quy trình thay file mỗi tháng, người chịu trách nhiệm, và cách phát hiện khi thay sót.</t>
        </is>
      </c>
      <c r="H12" s="14" t="n"/>
      <c r="I12" s="14" t="n"/>
      <c r="J12" s="14" t="n"/>
    </row>
    <row r="13" ht="44" customHeight="1">
      <c r="A13" s="16" t="n">
        <v>9</v>
      </c>
      <c r="B13" s="17" t="inlineStr">
        <is>
          <t>① Tri thức + tiêu chí đánh giá AI</t>
        </is>
      </c>
      <c r="C13" s="18" t="inlineStr">
        <is>
          <t>Phác đồ hậu phẫu từng dịch vụ</t>
        </is>
      </c>
      <c r="D13" s="20" t="inlineStr">
        <is>
          <t>Chưa có</t>
        </is>
      </c>
      <c r="E13" s="13" t="inlineStr"/>
      <c r="F13" s="13" t="inlineStr"/>
      <c r="G13" s="13" t="inlineStr">
        <is>
          <t>CHẶN CỨNG toàn bộ phần chăm sóc sau dịch vụ. Cần mốc tái khám, cắt chỉ, kiêng cữ theo từng dịch vụ — phải do bộ phận chuyên môn y khoa cung cấp.</t>
        </is>
      </c>
      <c r="H13" s="14" t="n"/>
      <c r="I13" s="14" t="n"/>
      <c r="J13" s="14" t="n"/>
    </row>
    <row r="14" ht="44" customHeight="1">
      <c r="A14" s="16" t="n">
        <v>10</v>
      </c>
      <c r="B14" s="17" t="inlineStr">
        <is>
          <t>① Tri thức + tiêu chí đánh giá AI</t>
        </is>
      </c>
      <c r="C14" s="18" t="inlineStr">
        <is>
          <t>Danh sách bác sĩ được duyệt quảng bá</t>
        </is>
      </c>
      <c r="D14" s="20" t="inlineStr">
        <is>
          <t>Chưa có</t>
        </is>
      </c>
      <c r="E14" s="13" t="inlineStr"/>
      <c r="F14" s="13" t="inlineStr"/>
      <c r="G14" s="13" t="inlineStr">
        <is>
          <t>Chỉ được nhắc tên bác sĩ trong danh sách này. Kèm chứng chỉ hành nghề còn hiệu lực của từng người.</t>
        </is>
      </c>
      <c r="H14" s="14" t="n"/>
      <c r="I14" s="14" t="n"/>
      <c r="J14" s="14" t="n"/>
    </row>
    <row r="15" ht="44" customHeight="1">
      <c r="A15" s="16" t="n">
        <v>11</v>
      </c>
      <c r="B15" s="17" t="inlineStr">
        <is>
          <t>① Tri thức + tiêu chí đánh giá AI</t>
        </is>
      </c>
      <c r="C15" s="18" t="inlineStr">
        <is>
          <t>Phân biệt page Bệnh viện và page Local</t>
        </is>
      </c>
      <c r="D15" s="21" t="inlineStr">
        <is>
          <t>Một phần</t>
        </is>
      </c>
      <c r="E15" s="13" t="inlineStr">
        <is>
          <t>Tài liệu có ghi nhận 2 loại page với giọng khác nhau — page Local gần gũi hơn, nhấn "đẹp gần nhà".</t>
        </is>
      </c>
      <c r="F15" s="13" t="inlineStr">
        <is>
          <t>Tab "Kịch bản tiêu chuẩn"</t>
        </is>
      </c>
      <c r="G15" s="13" t="inlineStr">
        <is>
          <t>Chưa có bộ nội dung riêng cho page Local.</t>
        </is>
      </c>
      <c r="H15" s="14" t="n"/>
      <c r="I15" s="14" t="n"/>
      <c r="J15" s="14" t="n"/>
    </row>
    <row r="16" ht="44" customHeight="1">
      <c r="A16" s="16" t="n">
        <v>12</v>
      </c>
      <c r="B16" s="17" t="inlineStr">
        <is>
          <t>① Tri thức + tiêu chí đánh giá AI</t>
        </is>
      </c>
      <c r="C16" s="18" t="inlineStr">
        <is>
          <t>BỘ TIÊU CHÍ ĐÁNH GIÁ CHẤT LƯỢNG AI</t>
        </is>
      </c>
      <c r="D16" s="20" t="inlineStr">
        <is>
          <t>Chưa có</t>
        </is>
      </c>
      <c r="E16" s="13" t="inlineStr">
        <is>
          <t>Khung đề xuất: 0 ca nhắc khách đã chạm điều kiện thoát · 0 ca vượt trần 6 lần/7 ngày · 0 ca dùng số liệu hết hạn · 0 ca có từ cấm · chọn đúng nhịp ≥ 95% · không trùng nội dung giữa 2 lần chạm ≥ 90% · 0 ca sót nhịp · tỷ lệ cán bộ duyệt "dùng được luôn" ≥ 70%.</t>
        </is>
      </c>
      <c r="F16" s="13" t="inlineStr">
        <is>
          <t>Khung do đội dự án đề xuất — chưa được duyệt</t>
        </is>
      </c>
      <c r="G16" s="13" t="inlineStr">
        <is>
          <t>Kangnam chốt ngưỡng. Bốn tiêu chí đầu là NGƯỠNG TUYỆT ĐỐI, nên cài thành chặn cứng ở hệ thống chứ không phải chỉ tiêu phấn đấu.</t>
        </is>
      </c>
      <c r="H16" s="14" t="n"/>
      <c r="I16" s="14" t="n"/>
      <c r="J16" s="14" t="n"/>
    </row>
    <row r="17" ht="44" customHeight="1">
      <c r="A17" s="16" t="n">
        <v>13</v>
      </c>
      <c r="B17" s="17" t="inlineStr">
        <is>
          <t>② Quy trình AS-IS / TO-BE</t>
        </is>
      </c>
      <c r="C17" s="18" t="inlineStr">
        <is>
          <t>Quy trình nhắc lịch và chăm sóc hiện trạng (AS-IS)</t>
        </is>
      </c>
      <c r="D17" s="20" t="inlineStr">
        <is>
          <t>Chưa có</t>
        </is>
      </c>
      <c r="E17" s="13" t="inlineStr"/>
      <c r="F17" s="13" t="inlineStr"/>
      <c r="G17" s="13" t="inlineStr">
        <is>
          <t>Telesale theo dõi lịch nhắc bằng gì (phần mềm / Excel / trí nhớ). Mỗi người ôm bao nhiêu khách cùng lúc. Mỗi ngày nhắc được bao nhiêu. Nội dung nhắn lấy từ đâu. Mất bao lâu soạn một tin cá nhân hoá. Ai kiểm soát việc nhắn quá nhiều.</t>
        </is>
      </c>
      <c r="H17" s="14" t="n"/>
      <c r="I17" s="14" t="n"/>
      <c r="J17" s="14" t="n"/>
    </row>
    <row r="18" ht="44" customHeight="1">
      <c r="A18" s="16" t="n">
        <v>14</v>
      </c>
      <c r="B18" s="17" t="inlineStr">
        <is>
          <t>② Quy trình AS-IS / TO-BE</t>
        </is>
      </c>
      <c r="C18" s="18" t="inlineStr">
        <is>
          <t>Tỷ lệ sót nhịp hiện tại</t>
        </is>
      </c>
      <c r="D18" s="20" t="inlineStr">
        <is>
          <t>Chưa có</t>
        </is>
      </c>
      <c r="E18" s="13" t="inlineStr"/>
      <c r="F18" s="13" t="inlineStr"/>
      <c r="G18" s="13" t="inlineStr">
        <is>
          <t>Có đo được không. Nếu chưa đo được thì phải đo trước khi triển khai.</t>
        </is>
      </c>
      <c r="H18" s="14" t="n"/>
      <c r="I18" s="14" t="n"/>
      <c r="J18" s="14" t="n"/>
    </row>
    <row r="19" ht="44" customHeight="1">
      <c r="A19" s="16" t="n">
        <v>15</v>
      </c>
      <c r="B19" s="17" t="inlineStr">
        <is>
          <t>② Quy trình AS-IS / TO-BE</t>
        </is>
      </c>
      <c r="C19" s="18" t="inlineStr">
        <is>
          <t>Quy trình đích có AI (TO-BE)</t>
        </is>
      </c>
      <c r="D19" s="20" t="inlineStr">
        <is>
          <t>Chưa có</t>
        </is>
      </c>
      <c r="E19" s="13" t="inlineStr"/>
      <c r="F19" s="13" t="inlineStr"/>
      <c r="G19" s="13" t="inlineStr">
        <is>
          <t>Sinh danh sách nhắc theo CA hay THỜI GIAN THỰC — khác nhau rất nhiều về chi phí tích hợp. Cán bộ duyệt từng tin hay theo lô. Nội dung đã duyệt có ghi ngược vào phần mềm không hay cán bộ tự dán.</t>
        </is>
      </c>
      <c r="H19" s="14" t="n"/>
      <c r="I19" s="14" t="n"/>
      <c r="J19" s="14" t="n"/>
    </row>
    <row r="20" ht="44" customHeight="1">
      <c r="A20" s="16" t="n">
        <v>16</v>
      </c>
      <c r="B20" s="17" t="inlineStr">
        <is>
          <t>② Quy trình AS-IS / TO-BE</t>
        </is>
      </c>
      <c r="C20" s="18" t="inlineStr">
        <is>
          <t>Điểm tích hợp hệ thống</t>
        </is>
      </c>
      <c r="D20" s="20" t="inlineStr">
        <is>
          <t>Chưa có</t>
        </is>
      </c>
      <c r="E20" s="13" t="inlineStr"/>
      <c r="F20" s="13" t="inlineStr"/>
      <c r="G20" s="13" t="inlineStr">
        <is>
          <t>Đọc danh sách khách và lịch sử chạm từ đâu. Có ghi lại lần chạm không, ghi vào đâu.</t>
        </is>
      </c>
      <c r="H20" s="14" t="n"/>
      <c r="I20" s="14" t="n"/>
      <c r="J20" s="14" t="n"/>
    </row>
    <row r="21" ht="44" customHeight="1">
      <c r="A21" s="16" t="n">
        <v>17</v>
      </c>
      <c r="B21" s="17" t="inlineStr">
        <is>
          <t>② Quy trình AS-IS / TO-BE</t>
        </is>
      </c>
      <c r="C21" s="18" t="inlineStr">
        <is>
          <t>Trường dữ liệu và enum</t>
        </is>
      </c>
      <c r="D21" s="20" t="inlineStr">
        <is>
          <t>Chưa có</t>
        </is>
      </c>
      <c r="E21" s="13" t="inlineStr"/>
      <c r="F21" s="13" t="inlineStr"/>
      <c r="G21" s="13" t="inlineStr">
        <is>
          <t>Trường theo dõi số lần chạm, mốc gần nhất, trạng thái thoát, kênh đã dùng.</t>
        </is>
      </c>
      <c r="H21" s="14" t="n"/>
      <c r="I21" s="14" t="n"/>
      <c r="J21" s="14" t="n"/>
    </row>
    <row r="22" ht="44" customHeight="1">
      <c r="A22" s="16" t="n">
        <v>18</v>
      </c>
      <c r="B22" s="17" t="inlineStr">
        <is>
          <t>② Quy trình AS-IS / TO-BE</t>
        </is>
      </c>
      <c r="C22" s="18" t="inlineStr">
        <is>
          <t>Sự kiện cần ghi log</t>
        </is>
      </c>
      <c r="D22" s="20" t="inlineStr">
        <is>
          <t>Chưa có</t>
        </is>
      </c>
      <c r="E22" s="13" t="inlineStr"/>
      <c r="F22" s="13" t="inlineStr"/>
      <c r="G22" s="13" t="inlineStr">
        <is>
          <t>Để đếm được số lần chạm và tính được tỷ lệ sót nhịp.</t>
        </is>
      </c>
      <c r="H22" s="14" t="n"/>
      <c r="I22" s="14" t="n"/>
      <c r="J22" s="14" t="n"/>
    </row>
    <row r="23" ht="44" customHeight="1">
      <c r="A23" s="16" t="n">
        <v>19</v>
      </c>
      <c r="B23" s="17" t="inlineStr">
        <is>
          <t>② Quy trình AS-IS / TO-BE</t>
        </is>
      </c>
      <c r="C23" s="18" t="inlineStr">
        <is>
          <t>Xử lý ngoại lệ</t>
        </is>
      </c>
      <c r="D23" s="20" t="inlineStr">
        <is>
          <t>Chưa có</t>
        </is>
      </c>
      <c r="E23" s="13" t="inlineStr"/>
      <c r="F23" s="13" t="inlineStr"/>
      <c r="G23" s="13" t="inlineStr">
        <is>
          <t>Dữ liệu chiến dịch tháng chưa cập nhật: hệ thống DỪNG sinh nội dung có số, hay vẫn sinh và gắn cảnh báo.</t>
        </is>
      </c>
      <c r="H23" s="14" t="n"/>
      <c r="I23" s="14" t="n"/>
      <c r="J23" s="14" t="n"/>
    </row>
    <row r="24" ht="44" customHeight="1">
      <c r="A24" s="16" t="n">
        <v>20</v>
      </c>
      <c r="B24" s="17" t="inlineStr">
        <is>
          <t>③ Đối tượng sử dụng</t>
        </is>
      </c>
      <c r="C24" s="18" t="inlineStr">
        <is>
          <t>Danh sách cán bộ TeleSale</t>
        </is>
      </c>
      <c r="D24" s="20" t="inlineStr">
        <is>
          <t>Chưa có</t>
        </is>
      </c>
      <c r="E24" s="13" t="inlineStr"/>
      <c r="F24" s="13" t="inlineStr"/>
      <c r="G24" s="13" t="inlineStr">
        <is>
          <t>Bao nhiêu người, ca làm việc, khối lượng xử lý mỗi ca.</t>
        </is>
      </c>
      <c r="H24" s="14" t="n"/>
      <c r="I24" s="14" t="n"/>
      <c r="J24" s="14" t="n"/>
    </row>
    <row r="25" ht="44" customHeight="1">
      <c r="A25" s="16" t="n">
        <v>21</v>
      </c>
      <c r="B25" s="17" t="inlineStr">
        <is>
          <t>③ Đối tượng sử dụng</t>
        </is>
      </c>
      <c r="C25" s="18" t="inlineStr">
        <is>
          <t>Vai trò trong quy trình</t>
        </is>
      </c>
      <c r="D25" s="21" t="inlineStr">
        <is>
          <t>Một phần</t>
        </is>
      </c>
      <c r="E25" s="13" t="inlineStr">
        <is>
          <t>Khung đề xuất: cán bộ TeleSale (người dùng chính) · nhân viên trực page · trưởng TeleSale · CSKH hậu phẫu · Marketing · Pháp chế · CNTT.</t>
        </is>
      </c>
      <c r="F25" s="13" t="inlineStr">
        <is>
          <t>Đề xuất của đội dự án</t>
        </is>
      </c>
      <c r="G25" s="13" t="inlineStr">
        <is>
          <t>Xác nhận và bổ sung số lượng từng vai trò.</t>
        </is>
      </c>
      <c r="H25" s="14" t="n"/>
      <c r="I25" s="14" t="n"/>
      <c r="J25" s="14" t="n"/>
    </row>
    <row r="26" ht="44" customHeight="1">
      <c r="A26" s="16" t="n">
        <v>22</v>
      </c>
      <c r="B26" s="17" t="inlineStr">
        <is>
          <t>③ Đối tượng sử dụng</t>
        </is>
      </c>
      <c r="C26" s="18" t="inlineStr">
        <is>
          <t>Người chịu trách nhiệm cập nhật dữ liệu chiến dịch tháng</t>
        </is>
      </c>
      <c r="D26" s="20" t="inlineStr">
        <is>
          <t>Chưa có</t>
        </is>
      </c>
      <c r="E26" s="13" t="inlineStr"/>
      <c r="F26" s="13" t="inlineStr"/>
      <c r="G26" s="13" t="inlineStr">
        <is>
          <t>MẮT XÍCH DỄ ĐỨT NHẤT. Quên thay file là gửi khách ưu đãi đã hết hạn. Cần tên người cụ thể và người kiểm tra lại.</t>
        </is>
      </c>
      <c r="H26" s="14" t="n"/>
      <c r="I26" s="14" t="n"/>
      <c r="J26" s="14" t="n"/>
    </row>
    <row r="27" ht="44" customHeight="1">
      <c r="A27" s="16" t="n">
        <v>23</v>
      </c>
      <c r="B27" s="17" t="inlineStr">
        <is>
          <t>③ Đối tượng sử dụng</t>
        </is>
      </c>
      <c r="C27" s="18" t="inlineStr">
        <is>
          <t>Phân quyền</t>
        </is>
      </c>
      <c r="D27" s="20" t="inlineStr">
        <is>
          <t>Chưa có</t>
        </is>
      </c>
      <c r="E27" s="13" t="inlineStr"/>
      <c r="F27" s="13" t="inlineStr"/>
      <c r="G27" s="13" t="inlineStr">
        <is>
          <t>Ai xem được khách của ai. Ai duyệt nội dung. Ai bấm dừng khi khách từ chối.</t>
        </is>
      </c>
      <c r="H27" s="14" t="n"/>
      <c r="I27" s="14" t="n"/>
      <c r="J27" s="14" t="n"/>
    </row>
    <row r="28" ht="44" customHeight="1">
      <c r="A28" s="16" t="n">
        <v>24</v>
      </c>
      <c r="B28" s="17" t="inlineStr">
        <is>
          <t>④ Mục tiêu &amp; hiệu quả</t>
        </is>
      </c>
      <c r="C28" s="18" t="inlineStr">
        <is>
          <t>Baseline — Kết nối / SĐT</t>
        </is>
      </c>
      <c r="D28" s="19" t="inlineStr">
        <is>
          <t>Đã có</t>
        </is>
      </c>
      <c r="E28" s="13" t="inlineStr">
        <is>
          <t>72%</t>
        </is>
      </c>
      <c r="F28" s="13" t="inlineStr">
        <is>
          <t>Tab "Năng lực &amp; đào tạo"</t>
        </is>
      </c>
      <c r="G28" s="13" t="inlineStr">
        <is>
          <t>Mục tiêu ghi 80% trong tài liệu gốc nhưng 78% trong bộ module — CẦN CHỐT.</t>
        </is>
      </c>
      <c r="H28" s="14" t="n"/>
      <c r="I28" s="14" t="n"/>
      <c r="J28" s="14" t="n"/>
    </row>
    <row r="29" ht="44" customHeight="1">
      <c r="A29" s="16" t="n">
        <v>25</v>
      </c>
      <c r="B29" s="17" t="inlineStr">
        <is>
          <t>④ Mục tiêu &amp; hiệu quả</t>
        </is>
      </c>
      <c r="C29" s="18" t="inlineStr">
        <is>
          <t>Baseline — Booking / Kết nối</t>
        </is>
      </c>
      <c r="D29" s="19" t="inlineStr">
        <is>
          <t>Đã có</t>
        </is>
      </c>
      <c r="E29" s="13" t="inlineStr">
        <is>
          <t>45%</t>
        </is>
      </c>
      <c r="F29" s="13" t="inlineStr">
        <is>
          <t>Tab "Năng lực &amp; đào tạo"</t>
        </is>
      </c>
      <c r="G29" s="13" t="inlineStr">
        <is>
          <t>Mục tiêu ghi 51% trong tài liệu gốc nhưng 50% trong bộ module — CẦN CHỐT.</t>
        </is>
      </c>
      <c r="H29" s="14" t="n"/>
      <c r="I29" s="14" t="n"/>
      <c r="J29" s="14" t="n"/>
    </row>
    <row r="30" ht="44" customHeight="1">
      <c r="A30" s="16" t="n">
        <v>26</v>
      </c>
      <c r="B30" s="17" t="inlineStr">
        <is>
          <t>④ Mục tiêu &amp; hiệu quả</t>
        </is>
      </c>
      <c r="C30" s="18" t="inlineStr">
        <is>
          <t>Baseline — tỷ lệ sót nhịp</t>
        </is>
      </c>
      <c r="D30" s="20" t="inlineStr">
        <is>
          <t>Chưa có</t>
        </is>
      </c>
      <c r="E30" s="13" t="inlineStr"/>
      <c r="F30" s="13" t="inlineStr"/>
      <c r="G30" s="13" t="inlineStr"/>
      <c r="H30" s="14" t="n"/>
      <c r="I30" s="14" t="n"/>
      <c r="J30" s="14" t="n"/>
    </row>
    <row r="31" ht="44" customHeight="1">
      <c r="A31" s="16" t="n">
        <v>27</v>
      </c>
      <c r="B31" s="17" t="inlineStr">
        <is>
          <t>④ Mục tiêu &amp; hiệu quả</t>
        </is>
      </c>
      <c r="C31" s="18" t="inlineStr">
        <is>
          <t>Baseline — thời gian soạn một tin chăm sóc</t>
        </is>
      </c>
      <c r="D31" s="20" t="inlineStr">
        <is>
          <t>Chưa có</t>
        </is>
      </c>
      <c r="E31" s="13" t="inlineStr"/>
      <c r="F31" s="13" t="inlineStr"/>
      <c r="G31" s="13" t="inlineStr"/>
      <c r="H31" s="14" t="n"/>
      <c r="I31" s="14" t="n"/>
      <c r="J31" s="14" t="n"/>
    </row>
    <row r="32" ht="44" customHeight="1">
      <c r="A32" s="16" t="n">
        <v>28</v>
      </c>
      <c r="B32" s="17" t="inlineStr">
        <is>
          <t>④ Mục tiêu &amp; hiệu quả</t>
        </is>
      </c>
      <c r="C32" s="18" t="inlineStr">
        <is>
          <t>Baseline — tỷ lệ tái khám đúng hẹn</t>
        </is>
      </c>
      <c r="D32" s="20" t="inlineStr">
        <is>
          <t>Chưa có</t>
        </is>
      </c>
      <c r="E32" s="13" t="inlineStr"/>
      <c r="F32" s="13" t="inlineStr"/>
      <c r="G32" s="13" t="inlineStr">
        <is>
          <t>Chỉ đo được khi đã có phác đồ hậu phẫu.</t>
        </is>
      </c>
      <c r="H32" s="14" t="n"/>
      <c r="I32" s="14" t="n"/>
      <c r="J32" s="14" t="n"/>
    </row>
    <row r="33" ht="44" customHeight="1">
      <c r="A33" s="16" t="n">
        <v>29</v>
      </c>
      <c r="B33" s="17" t="inlineStr">
        <is>
          <t>④ Mục tiêu &amp; hiệu quả</t>
        </is>
      </c>
      <c r="C33" s="18" t="inlineStr">
        <is>
          <t>Baseline — tỷ lệ khách phàn nàn bị làm phiền</t>
        </is>
      </c>
      <c r="D33" s="20" t="inlineStr">
        <is>
          <t>Chưa có</t>
        </is>
      </c>
      <c r="E33" s="13" t="inlineStr"/>
      <c r="F33" s="13" t="inlineStr"/>
      <c r="G33" s="13" t="inlineStr">
        <is>
          <t>Cần theo dõi để đảm bảo không tăng sau khi áp dụng.</t>
        </is>
      </c>
      <c r="H33" s="14" t="n"/>
      <c r="I33" s="14" t="n"/>
      <c r="J33" s="14" t="n"/>
    </row>
    <row r="34" ht="44" customHeight="1">
      <c r="A34" s="16" t="n">
        <v>30</v>
      </c>
      <c r="B34" s="17" t="inlineStr">
        <is>
          <t>④ Mục tiêu &amp; hiệu quả</t>
        </is>
      </c>
      <c r="C34" s="18" t="inlineStr">
        <is>
          <t>Quy đổi hiệu quả</t>
        </is>
      </c>
      <c r="D34" s="20" t="inlineStr">
        <is>
          <t>Chưa có</t>
        </is>
      </c>
      <c r="E34" s="13" t="inlineStr"/>
      <c r="F34" s="13" t="inlineStr"/>
      <c r="G34" s="13" t="inlineStr">
        <is>
          <t>Người-giờ tiết kiệm. Số lead cứu được khỏi rơi ở khâu nuôi dưỡng — khâu đắt nhất vì chi phí lấy được số điện thoại đã trả rồi.</t>
        </is>
      </c>
      <c r="H34" s="14" t="n"/>
      <c r="I34" s="14" t="n"/>
      <c r="J34" s="14" t="n"/>
    </row>
    <row r="35" ht="44" customHeight="1">
      <c r="A35" s="16" t="n">
        <v>31</v>
      </c>
      <c r="B35" s="17" t="inlineStr">
        <is>
          <t>④ Mục tiêu &amp; hiệu quả</t>
        </is>
      </c>
      <c r="C35" s="18" t="inlineStr">
        <is>
          <t>Điểm ưu tiên triển khai</t>
        </is>
      </c>
      <c r="D35" s="21" t="inlineStr">
        <is>
          <t>Một phần</t>
        </is>
      </c>
      <c r="E35" s="13" t="inlineStr">
        <is>
          <t>Đề xuất ƯU TIÊN 3. Không phải vì ít giá trị — giá trị kinh doanh rất rõ — mà vì phụ thuộc nhiều thứ chưa có và sai sót thì chạm thẳng vào khách. ĐỀ XUẤT TÁCH 2 GIAI ĐOẠN: chăm sóc trước chốt làm trước, hậu phẫu làm sau khi có phác đồ.</t>
        </is>
      </c>
      <c r="F35" s="13" t="inlineStr">
        <is>
          <t>Đề xuất của đội dự án</t>
        </is>
      </c>
      <c r="G35" s="13" t="inlineStr">
        <is>
          <t>Kangnam và CNTT xác nhận.</t>
        </is>
      </c>
      <c r="H35" s="14" t="n"/>
      <c r="I35" s="14" t="n"/>
      <c r="J35" s="14" t="n"/>
    </row>
    <row r="37">
      <c r="C37" s="22" t="inlineStr">
        <is>
          <t>Tổng số hạng mục</t>
        </is>
      </c>
      <c r="D37" s="23">
        <f>COUNTA(C5:C35)</f>
        <v/>
      </c>
    </row>
    <row r="38">
      <c r="C38" s="22" t="inlineStr">
        <is>
          <t>Đã bổ sung (số ô cột H đã điền)</t>
        </is>
      </c>
      <c r="D38" s="23">
        <f>COUNTA(H5:H35)</f>
        <v/>
      </c>
    </row>
    <row r="39">
      <c r="C39" s="22" t="inlineStr">
        <is>
          <t>Còn lại chưa bổ sung</t>
        </is>
      </c>
      <c r="D39" s="23">
        <f>D37-D38</f>
        <v/>
      </c>
    </row>
    <row r="41">
      <c r="C41" s="24" t="inlineStr">
        <is>
          <t>Ghi chú: cột D nhận 3 giá trị — Đã có / Một phần / Chưa có. Cập nhật lại cột D khi đã bổ sung xong tài liệu.</t>
        </is>
      </c>
    </row>
  </sheetData>
  <mergeCells count="2">
    <mergeCell ref="A1:J1"/>
    <mergeCell ref="A2:J2"/>
  </mergeCells>
  <dataValidations count="1">
    <dataValidation sqref="D5 D6 D7 D8 D9 D10 D11 D12 D13 D14 D15 D16 D17 D18 D19 D20 D21 D22 D23 D24 D25 D26 D27 D28 D29 D30 D31 D32 D33 D34 D35" showDropDown="0" showInputMessage="0" showErrorMessage="0" allowBlank="1" type="list">
      <formula1>"Đã có,Một phần,Chưa có"</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17" customWidth="1" min="2" max="2"/>
    <col width="35" customWidth="1" min="3" max="3"/>
    <col width="12" customWidth="1" min="4" max="4"/>
    <col width="48" customWidth="1" min="5" max="5"/>
    <col width="28" customWidth="1" min="6" max="6"/>
    <col width="55" customWidth="1" min="7" max="7"/>
    <col width="42" customWidth="1" min="8" max="8"/>
    <col width="18" customWidth="1" min="9" max="9"/>
    <col width="14" customWidth="1" min="10" max="10"/>
  </cols>
  <sheetData>
    <row r="1" ht="24" customHeight="1">
      <c r="A1" s="1" t="inlineStr">
        <is>
          <t>TRỢ LÝ / HỆ THỐNG AI LEAD SCORING</t>
        </is>
      </c>
    </row>
    <row r="2" ht="32" customHeight="1">
      <c r="A2" s="2" t="inlineStr">
        <is>
          <t>Chấm 2 luồng (hội thoại page + cuộc gọi) → phân loại HOT/WARM/COLD kèm tín hiệu dẫn chứng → phục vụ định tuyến và SLA gọi. Không chạm nội dung gửi khách, nhưng quyết định AI ĐƯỢC GỌI TRƯỚC và TRONG BAO LÂU.</t>
        </is>
      </c>
    </row>
    <row r="4" ht="36" customHeight="1">
      <c r="A4" s="11" t="inlineStr">
        <is>
          <t>STT</t>
        </is>
      </c>
      <c r="B4" s="11" t="inlineStr">
        <is>
          <t>Nhóm</t>
        </is>
      </c>
      <c r="C4" s="11" t="inlineStr">
        <is>
          <t>Hạng mục cần cung cấp</t>
        </is>
      </c>
      <c r="D4" s="11" t="inlineStr">
        <is>
          <t>Trạng thái</t>
        </is>
      </c>
      <c r="E4" s="11" t="inlineStr">
        <is>
          <t>Nội dung đã có</t>
        </is>
      </c>
      <c r="F4" s="11" t="inlineStr">
        <is>
          <t>Nguồn tài liệu</t>
        </is>
      </c>
      <c r="G4" s="11" t="inlineStr">
        <is>
          <t>Còn thiếu — cần bổ sung</t>
        </is>
      </c>
      <c r="H4" s="11" t="inlineStr">
        <is>
          <t>NỘI DUNG BỔ SUNG</t>
        </is>
      </c>
      <c r="I4" s="11" t="inlineStr">
        <is>
          <t>NGƯỜI PHỤ TRÁCH</t>
        </is>
      </c>
      <c r="J4" s="11" t="inlineStr">
        <is>
          <t>DEADLINE</t>
        </is>
      </c>
    </row>
    <row r="5" ht="44" customHeight="1">
      <c r="A5" s="16" t="n">
        <v>1</v>
      </c>
      <c r="B5" s="17" t="inlineStr">
        <is>
          <t>① Tri thức + tiêu chí đánh giá AI</t>
        </is>
      </c>
      <c r="C5" s="18" t="inlineStr">
        <is>
          <t>Bộ 5 tín hiệu phân loại HOT / WARM / COLD</t>
        </is>
      </c>
      <c r="D5" s="19" t="inlineStr">
        <is>
          <t>Đã có</t>
        </is>
      </c>
      <c r="E5" s="13" t="inlineStr">
        <is>
          <t>① nêu dịch vụ cụ thể ② thời gian dự kiến ≤ 14 ngày ③ hỏi lịch, bác sĩ, hoặc chi phí theo tình trạng của mình ④ gửi ảnh hoặc mô tả rõ tình trạng ⑤ đồng ý nhận cuộc gọi trong khung giờ cụ thể. HOT 4–5 điểm · WARM 2–3 · COLD 0–1.</t>
        </is>
      </c>
      <c r="F5" s="13" t="inlineStr">
        <is>
          <t>Playbook T10 · K8 §3</t>
        </is>
      </c>
      <c r="G5" s="13" t="inlineStr"/>
      <c r="H5" s="14" t="n"/>
      <c r="I5" s="14" t="n"/>
      <c r="J5" s="14" t="n"/>
    </row>
    <row r="6" ht="44" customHeight="1">
      <c r="A6" s="16" t="n">
        <v>2</v>
      </c>
      <c r="B6" s="17" t="inlineStr">
        <is>
          <t>① Tri thức + tiêu chí đánh giá AI</t>
        </is>
      </c>
      <c r="C6" s="18" t="inlineStr">
        <is>
          <t>Bảng SLA gọi theo khung giờ</t>
        </is>
      </c>
      <c r="D6" s="19" t="inlineStr">
        <is>
          <t>Đã có</t>
        </is>
      </c>
      <c r="E6" s="13" t="inlineStr">
        <is>
          <t>4 khung giờ × 3 mức ưu tiên. Giờ hành chính: HOT ≤ 5 phút · WARM ≤ 30 phút · COLD nhắn Zalo ≤ 2h.</t>
        </is>
      </c>
      <c r="F6" s="13" t="inlineStr">
        <is>
          <t>Playbook T10 · K8 §4</t>
        </is>
      </c>
      <c r="G6" s="13" t="inlineStr"/>
      <c r="H6" s="14" t="n"/>
      <c r="I6" s="14" t="n"/>
      <c r="J6" s="14" t="n"/>
    </row>
    <row r="7" ht="44" customHeight="1">
      <c r="A7" s="16" t="n">
        <v>3</v>
      </c>
      <c r="B7" s="17" t="inlineStr">
        <is>
          <t>① Tri thức + tiêu chí đánh giá AI</t>
        </is>
      </c>
      <c r="C7" s="18" t="inlineStr">
        <is>
          <t>Ba bậc Telesale và luật định tuyến</t>
        </is>
      </c>
      <c r="D7" s="19" t="inlineStr">
        <is>
          <t>Đã có</t>
        </is>
      </c>
      <c r="E7" s="13" t="inlineStr">
        <is>
          <t>Bậc 1 nhận HOT dịch vụ phẫu thuật · bậc 2 nhận HOT dịch vụ khác và WARM phẫu thuật · bậc 3 nhận WARM còn lại và COLD. Trần tải 8 số HOT mỗi giờ mỗi người, vượt thì chuyển người cùng bậc.</t>
        </is>
      </c>
      <c r="F7" s="13" t="inlineStr">
        <is>
          <t>Playbook T10 · K8 §4</t>
        </is>
      </c>
      <c r="G7" s="13" t="inlineStr"/>
      <c r="H7" s="14" t="n"/>
      <c r="I7" s="14" t="n"/>
      <c r="J7" s="14" t="n"/>
    </row>
    <row r="8" ht="44" customHeight="1">
      <c r="A8" s="16" t="n">
        <v>4</v>
      </c>
      <c r="B8" s="17" t="inlineStr">
        <is>
          <t>① Tri thức + tiêu chí đánh giá AI</t>
        </is>
      </c>
      <c r="C8" s="18" t="inlineStr">
        <is>
          <t>Phiếu bàn giao 12 trường</t>
        </is>
      </c>
      <c r="D8" s="19" t="inlineStr">
        <is>
          <t>Đã có</t>
        </is>
      </c>
      <c r="E8" s="13" t="inlineStr">
        <is>
          <t>Họ tên · SĐT · Zalo · Dịch vụ · Tình trạng · Mong muốn · Mối lo chính · Thời gian dự kiến · Khung giờ tiện · Điểm phân loại · Link hội thoại · Tên trực page.</t>
        </is>
      </c>
      <c r="F8" s="13" t="inlineStr">
        <is>
          <t>Playbook T10 · K8 §4</t>
        </is>
      </c>
      <c r="G8" s="13" t="inlineStr"/>
      <c r="H8" s="14" t="n"/>
      <c r="I8" s="14" t="n"/>
      <c r="J8" s="14" t="n"/>
    </row>
    <row r="9" ht="44" customHeight="1">
      <c r="A9" s="16" t="n">
        <v>5</v>
      </c>
      <c r="B9" s="17" t="inlineStr">
        <is>
          <t>① Tri thức + tiêu chí đánh giá AI</t>
        </is>
      </c>
      <c r="C9" s="18" t="inlineStr">
        <is>
          <t>Taxonomy trạng thái L1–L6</t>
        </is>
      </c>
      <c r="D9" s="19" t="inlineStr">
        <is>
          <t>Đã có</t>
        </is>
      </c>
      <c r="E9" s="13" t="inlineStr">
        <is>
          <t>16 mã. LƯU Ý: trạng thái L và mức ưu tiên HOT/WARM/COLD là HAI TRỤC RIÊNG, không gộp.</t>
        </is>
      </c>
      <c r="F9" s="13" t="inlineStr">
        <is>
          <t>Tab "Vận hành xử lý dữ liệu" · K6 §2</t>
        </is>
      </c>
      <c r="G9" s="13" t="inlineStr"/>
      <c r="H9" s="14" t="n"/>
      <c r="I9" s="14" t="n"/>
      <c r="J9" s="14" t="n"/>
    </row>
    <row r="10" ht="44" customHeight="1">
      <c r="A10" s="16" t="n">
        <v>6</v>
      </c>
      <c r="B10" s="17" t="inlineStr">
        <is>
          <t>① Tri thức + tiêu chí đánh giá AI</t>
        </is>
      </c>
      <c r="C10" s="18" t="inlineStr">
        <is>
          <t>Bảng tín hiệu cộng / trừ điểm 2 luồng</t>
        </is>
      </c>
      <c r="D10" s="21" t="inlineStr">
        <is>
          <t>Một phần</t>
        </is>
      </c>
      <c r="E10" s="13" t="inlineStr">
        <is>
          <t>Có bảng đề xuất chấm Luồng 1 (hội thoại page) và Luồng 2 (cuộc gọi telesale).</t>
        </is>
      </c>
      <c r="F10" s="13" t="inlineStr">
        <is>
          <t>Template A3 trong bộ module</t>
        </is>
      </c>
      <c r="G10" s="13" t="inlineStr">
        <is>
          <t>Mới là bản đề xuất v1, chưa được duyệt. Cần chốt: dùng bộ 5 tín hiệu, hay bảng điểm chi tiết, hay cả hai.</t>
        </is>
      </c>
      <c r="H10" s="14" t="n"/>
      <c r="I10" s="14" t="n"/>
      <c r="J10" s="14" t="n"/>
    </row>
    <row r="11" ht="44" customHeight="1">
      <c r="A11" s="16" t="n">
        <v>7</v>
      </c>
      <c r="B11" s="17" t="inlineStr">
        <is>
          <t>① Tri thức + tiêu chí đánh giá AI</t>
        </is>
      </c>
      <c r="C11" s="18" t="inlineStr">
        <is>
          <t>Luật chia dữ liệu theo trạng thái</t>
        </is>
      </c>
      <c r="D11" s="21" t="inlineStr">
        <is>
          <t>Một phần</t>
        </is>
      </c>
      <c r="E11" s="13" t="inlineStr">
        <is>
          <t>Mới có luật cho L1.1 (hệ thống tự phân bổ inbox mới, realtime trong ca trực 7–22h) và L2.1 (nhân sự online xử lý trong ngày, sau 1 ngày chia đều cho toàn bộ nhân sự đi làm).</t>
        </is>
      </c>
      <c r="F11" s="13" t="inlineStr">
        <is>
          <t>Tab "Vận hành xử lý dữ liệu"</t>
        </is>
      </c>
      <c r="G11" s="13" t="inlineStr">
        <is>
          <t>CÒN TRỐNG cho L2.3, L2.4, L5.x, L6.x. Hiện AI đang chạy bằng đề xuất mặc định chứ không phải luật chính thức.</t>
        </is>
      </c>
      <c r="H11" s="14" t="n"/>
      <c r="I11" s="14" t="n"/>
      <c r="J11" s="14" t="n"/>
    </row>
    <row r="12" ht="44" customHeight="1">
      <c r="A12" s="16" t="n">
        <v>8</v>
      </c>
      <c r="B12" s="17" t="inlineStr">
        <is>
          <t>① Tri thức + tiêu chí đánh giá AI</t>
        </is>
      </c>
      <c r="C12" s="18" t="inlineStr">
        <is>
          <t>Định nghĩa đồng hồ SLA</t>
        </is>
      </c>
      <c r="D12" s="20" t="inlineStr">
        <is>
          <t>Chưa có</t>
        </is>
      </c>
      <c r="E12" s="13" t="inlineStr"/>
      <c r="F12" s="13" t="inlineStr"/>
      <c r="G12" s="13" t="inlineStr">
        <is>
          <t>Tính từ mốc nào, dừng khi nào, ai bấm giờ, cảnh báo sắp quá hạn bắn ở đâu. Không có cái này thì chỉ tiêu "HOT gọi đúng SLA ≥ 90%" không đo được.</t>
        </is>
      </c>
      <c r="H12" s="14" t="n"/>
      <c r="I12" s="14" t="n"/>
      <c r="J12" s="14" t="n"/>
    </row>
    <row r="13" ht="44" customHeight="1">
      <c r="A13" s="16" t="n">
        <v>9</v>
      </c>
      <c r="B13" s="17" t="inlineStr">
        <is>
          <t>① Tri thức + tiêu chí đánh giá AI</t>
        </is>
      </c>
      <c r="C13" s="18" t="inlineStr">
        <is>
          <t>Danh sách bậc của từng Telesale</t>
        </is>
      </c>
      <c r="D13" s="20" t="inlineStr">
        <is>
          <t>Chưa có</t>
        </is>
      </c>
      <c r="E13" s="13" t="inlineStr"/>
      <c r="F13" s="13" t="inlineStr"/>
      <c r="G13" s="13" t="inlineStr">
        <is>
          <t>Ai bậc 1, ai bậc 2, ai bậc 3. Lịch ca làm việc từng người.</t>
        </is>
      </c>
      <c r="H13" s="14" t="n"/>
      <c r="I13" s="14" t="n"/>
      <c r="J13" s="14" t="n"/>
    </row>
    <row r="14" ht="44" customHeight="1">
      <c r="A14" s="16" t="n">
        <v>10</v>
      </c>
      <c r="B14" s="17" t="inlineStr">
        <is>
          <t>① Tri thức + tiêu chí đánh giá AI</t>
        </is>
      </c>
      <c r="C14" s="18" t="inlineStr">
        <is>
          <t>Định dạng nhật ký cuộc gọi</t>
        </is>
      </c>
      <c r="D14" s="20" t="inlineStr">
        <is>
          <t>Chưa có</t>
        </is>
      </c>
      <c r="E14" s="13" t="inlineStr"/>
      <c r="F14" s="13" t="inlineStr"/>
      <c r="G14" s="13" t="inlineStr">
        <is>
          <t>Luồng 2 chấm từ đâu: bản ghi cuộc gọi, tóm tắt tay, hay trường nhập sẵn trên phần mềm.</t>
        </is>
      </c>
      <c r="H14" s="14" t="n"/>
      <c r="I14" s="14" t="n"/>
      <c r="J14" s="14" t="n"/>
    </row>
    <row r="15" ht="44" customHeight="1">
      <c r="A15" s="16" t="n">
        <v>11</v>
      </c>
      <c r="B15" s="17" t="inlineStr">
        <is>
          <t>① Tri thức + tiêu chí đánh giá AI</t>
        </is>
      </c>
      <c r="C15" s="18" t="inlineStr">
        <is>
          <t>BỘ TIÊU CHÍ ĐÁNH GIÁ CHẤT LƯỢNG AI</t>
        </is>
      </c>
      <c r="D15" s="20" t="inlineStr">
        <is>
          <t>Chưa có</t>
        </is>
      </c>
      <c r="E15" s="13" t="inlineStr">
        <is>
          <t>Khung đề xuất: trùng mức với người chấm ≥ 90% · Booking/HOT ≥ 60% · Booking/WARM ≥ 35% · tỷ lệ HOT trên tổng lead ổn định (chống lạm phát HOT) · tỷ lệ bỏ sót khách nóng càng thấp càng tốt · có dẫn chứng tín hiệu 100% · không dùng thuộc tính nhạy cảm (sức khoẻ, tài chính cá nhân) · phiếu đủ trường ≥ 95%.</t>
        </is>
      </c>
      <c r="F15" s="13" t="inlineStr">
        <is>
          <t>Khung do đội dự án đề xuất — chưa được duyệt</t>
        </is>
      </c>
      <c r="G15" s="13" t="inlineStr">
        <is>
          <t>Kangnam chốt ngưỡng. LƯU Ý: chất lượng trợ lý này KHÔNG đo được ngay — phải chờ kết quả booking thực tế rồi đối chiếu ngược, nên hệ thống bắt buộc phải LƯU LẠI điểm đã chấm.</t>
        </is>
      </c>
      <c r="H15" s="14" t="n"/>
      <c r="I15" s="14" t="n"/>
      <c r="J15" s="14" t="n"/>
    </row>
    <row r="16" ht="44" customHeight="1">
      <c r="A16" s="16" t="n">
        <v>12</v>
      </c>
      <c r="B16" s="17" t="inlineStr">
        <is>
          <t>① Tri thức + tiêu chí đánh giá AI</t>
        </is>
      </c>
      <c r="C16" s="18" t="inlineStr">
        <is>
          <t>Bộ mẫu vàng lead</t>
        </is>
      </c>
      <c r="D16" s="20" t="inlineStr">
        <is>
          <t>Chưa có</t>
        </is>
      </c>
      <c r="E16" s="13" t="inlineStr"/>
      <c r="F16" s="13" t="inlineStr"/>
      <c r="G16" s="13" t="inlineStr">
        <is>
          <t>Tập lead đã được người chấm và duyệt, kèm kết quả booking thực tế để đối chiếu.</t>
        </is>
      </c>
      <c r="H16" s="14" t="n"/>
      <c r="I16" s="14" t="n"/>
      <c r="J16" s="14" t="n"/>
    </row>
    <row r="17" ht="44" customHeight="1">
      <c r="A17" s="16" t="n">
        <v>13</v>
      </c>
      <c r="B17" s="17" t="inlineStr">
        <is>
          <t>② Quy trình AS-IS / TO-BE</t>
        </is>
      </c>
      <c r="C17" s="18" t="inlineStr">
        <is>
          <t>Quy trình chia lead hiện trạng (AS-IS)</t>
        </is>
      </c>
      <c r="D17" s="21" t="inlineStr">
        <is>
          <t>Một phần</t>
        </is>
      </c>
      <c r="E17" s="13" t="inlineStr">
        <is>
          <t>Có một phần: L1.1 hệ thống tự động phân bổ inbox mới, realtime trong ca trực 7–22h; L2.1 nhân sự online chủ động xử lý trong ngày, sau 1 ngày lấy toàn bộ dữ liệu chia đều.</t>
        </is>
      </c>
      <c r="F17" s="13" t="inlineStr">
        <is>
          <t>Tab "Vận hành xử lý dữ liệu"</t>
        </is>
      </c>
      <c r="G17" s="13" t="inlineStr">
        <is>
          <t>Thiếu phần quan trọng nhất: lead ĐÃ CÓ SĐT được chia cho Telesale thế nào. Hiện có phân loại mức ưu tiên không, ai phân, dựa trên gì.</t>
        </is>
      </c>
      <c r="H17" s="14" t="n"/>
      <c r="I17" s="14" t="n"/>
      <c r="J17" s="14" t="n"/>
    </row>
    <row r="18" ht="44" customHeight="1">
      <c r="A18" s="16" t="n">
        <v>14</v>
      </c>
      <c r="B18" s="17" t="inlineStr">
        <is>
          <t>② Quy trình AS-IS / TO-BE</t>
        </is>
      </c>
      <c r="C18" s="18" t="inlineStr">
        <is>
          <t>Thời gian từ có số đến gọi lần đầu (hiện tại)</t>
        </is>
      </c>
      <c r="D18" s="20" t="inlineStr">
        <is>
          <t>Chưa có</t>
        </is>
      </c>
      <c r="E18" s="13" t="inlineStr"/>
      <c r="F18" s="13" t="inlineStr"/>
      <c r="G18" s="13" t="inlineStr">
        <is>
          <t>Con số này chính là baseline của SLA.</t>
        </is>
      </c>
      <c r="H18" s="14" t="n"/>
      <c r="I18" s="14" t="n"/>
      <c r="J18" s="14" t="n"/>
    </row>
    <row r="19" ht="44" customHeight="1">
      <c r="A19" s="16" t="n">
        <v>15</v>
      </c>
      <c r="B19" s="17" t="inlineStr">
        <is>
          <t>② Quy trình AS-IS / TO-BE</t>
        </is>
      </c>
      <c r="C19" s="18" t="inlineStr">
        <is>
          <t>Tỷ lệ phiếu bàn giao điền đủ trường (hiện tại)</t>
        </is>
      </c>
      <c r="D19" s="20" t="inlineStr">
        <is>
          <t>Chưa có</t>
        </is>
      </c>
      <c r="E19" s="13" t="inlineStr"/>
      <c r="F19" s="13" t="inlineStr"/>
      <c r="G19" s="13" t="inlineStr">
        <is>
          <t>Hiện phiếu có mấy trường, tỷ lệ điền đủ bao nhiêu.</t>
        </is>
      </c>
      <c r="H19" s="14" t="n"/>
      <c r="I19" s="14" t="n"/>
      <c r="J19" s="14" t="n"/>
    </row>
    <row r="20" ht="44" customHeight="1">
      <c r="A20" s="16" t="n">
        <v>16</v>
      </c>
      <c r="B20" s="17" t="inlineStr">
        <is>
          <t>② Quy trình AS-IS / TO-BE</t>
        </is>
      </c>
      <c r="C20" s="18" t="inlineStr">
        <is>
          <t>Xử lý quá tải giờ cao điểm (hiện tại)</t>
        </is>
      </c>
      <c r="D20" s="20" t="inlineStr">
        <is>
          <t>Chưa có</t>
        </is>
      </c>
      <c r="E20" s="13" t="inlineStr"/>
      <c r="F20" s="13" t="inlineStr"/>
      <c r="G20" s="13" t="inlineStr">
        <is>
          <t>Giờ cao điểm tải bao nhiêu số mỗi giờ. Hiện xử lý quá tải thế nào.</t>
        </is>
      </c>
      <c r="H20" s="14" t="n"/>
      <c r="I20" s="14" t="n"/>
      <c r="J20" s="14" t="n"/>
    </row>
    <row r="21" ht="44" customHeight="1">
      <c r="A21" s="16" t="n">
        <v>17</v>
      </c>
      <c r="B21" s="17" t="inlineStr">
        <is>
          <t>② Quy trình AS-IS / TO-BE</t>
        </is>
      </c>
      <c r="C21" s="18" t="inlineStr">
        <is>
          <t>Quy trình đích có AI (TO-BE)</t>
        </is>
      </c>
      <c r="D21" s="20" t="inlineStr">
        <is>
          <t>Chưa có</t>
        </is>
      </c>
      <c r="E21" s="13" t="inlineStr"/>
      <c r="F21" s="13" t="inlineStr"/>
      <c r="G21" s="13" t="inlineStr">
        <is>
          <t>AI chấm xong thì TỰ ĐỊNH TUYẾN hay chỉ ĐỀ XUẤT để điều phối viên bấm duyệt. Xử lý khi tất cả người cùng bậc đều quá tải: xếp hàng, hạ bậc, hay báo trưởng nhóm. Cảnh báo sắp quá hạn SLA hiện ra ở đâu, cho ai thấy.</t>
        </is>
      </c>
      <c r="H21" s="14" t="n"/>
      <c r="I21" s="14" t="n"/>
      <c r="J21" s="14" t="n"/>
    </row>
    <row r="22" ht="44" customHeight="1">
      <c r="A22" s="16" t="n">
        <v>18</v>
      </c>
      <c r="B22" s="17" t="inlineStr">
        <is>
          <t>② Quy trình AS-IS / TO-BE</t>
        </is>
      </c>
      <c r="C22" s="18" t="inlineStr">
        <is>
          <t>Nguồn sự thật của trạng thái</t>
        </is>
      </c>
      <c r="D22" s="20" t="inlineStr">
        <is>
          <t>Chưa có</t>
        </is>
      </c>
      <c r="E22" s="13" t="inlineStr"/>
      <c r="F22" s="13" t="inlineStr"/>
      <c r="G22" s="13" t="inlineStr">
        <is>
          <t>QUYẾT ĐỊNH CHẶN CẢ BA TRỢ LÝ: người gán trạng thái hay máy gán. Gán lệch nhau thì ai thắng. Phải chốt trước tiên.</t>
        </is>
      </c>
      <c r="H22" s="14" t="n"/>
      <c r="I22" s="14" t="n"/>
      <c r="J22" s="14" t="n"/>
    </row>
    <row r="23" ht="44" customHeight="1">
      <c r="A23" s="16" t="n">
        <v>19</v>
      </c>
      <c r="B23" s="17" t="inlineStr">
        <is>
          <t>② Quy trình AS-IS / TO-BE</t>
        </is>
      </c>
      <c r="C23" s="18" t="inlineStr">
        <is>
          <t>Điểm tích hợp hệ thống</t>
        </is>
      </c>
      <c r="D23" s="20" t="inlineStr">
        <is>
          <t>Chưa có</t>
        </is>
      </c>
      <c r="E23" s="13" t="inlineStr"/>
      <c r="F23" s="13" t="inlineStr"/>
      <c r="G23" s="13" t="inlineStr">
        <is>
          <t>Đọc hội thoại và nhật ký gọi từ đâu. Ghi điểm và phiếu bàn giao vào đâu, bằng quyền gì.</t>
        </is>
      </c>
      <c r="H23" s="14" t="n"/>
      <c r="I23" s="14" t="n"/>
      <c r="J23" s="14" t="n"/>
    </row>
    <row r="24" ht="44" customHeight="1">
      <c r="A24" s="16" t="n">
        <v>20</v>
      </c>
      <c r="B24" s="17" t="inlineStr">
        <is>
          <t>② Quy trình AS-IS / TO-BE</t>
        </is>
      </c>
      <c r="C24" s="18" t="inlineStr">
        <is>
          <t>Trường dữ liệu và enum</t>
        </is>
      </c>
      <c r="D24" s="21" t="inlineStr">
        <is>
          <t>Một phần</t>
        </is>
      </c>
      <c r="E24" s="13" t="inlineStr">
        <is>
          <t>Yêu cầu đã biết: L-code và HOT/WARM/COLD phải là HAI CỘT RIÊNG, không gộp.</t>
        </is>
      </c>
      <c r="F24" s="13" t="inlineStr">
        <is>
          <t>Đề xuất của đội dự án</t>
        </is>
      </c>
      <c r="G24" s="13" t="inlineStr">
        <is>
          <t>Danh sách trường đầy đủ, kiểu dữ liệu, giá trị hợp lệ của từng enum.</t>
        </is>
      </c>
      <c r="H24" s="14" t="n"/>
      <c r="I24" s="14" t="n"/>
      <c r="J24" s="14" t="n"/>
    </row>
    <row r="25" ht="44" customHeight="1">
      <c r="A25" s="16" t="n">
        <v>21</v>
      </c>
      <c r="B25" s="17" t="inlineStr">
        <is>
          <t>② Quy trình AS-IS / TO-BE</t>
        </is>
      </c>
      <c r="C25" s="18" t="inlineStr">
        <is>
          <t>Sự kiện cần ghi log</t>
        </is>
      </c>
      <c r="D25" s="20" t="inlineStr">
        <is>
          <t>Chưa có</t>
        </is>
      </c>
      <c r="E25" s="13" t="inlineStr"/>
      <c r="F25" s="13" t="inlineStr"/>
      <c r="G25" s="13" t="inlineStr">
        <is>
          <t>Bắt buộc lưu LỊCH SỬ CHẤM để sau này ghép với kết quả booking — đây là cách duy nhất đo được độ chính xác.</t>
        </is>
      </c>
      <c r="H25" s="14" t="n"/>
      <c r="I25" s="14" t="n"/>
      <c r="J25" s="14" t="n"/>
    </row>
    <row r="26" ht="44" customHeight="1">
      <c r="A26" s="16" t="n">
        <v>22</v>
      </c>
      <c r="B26" s="17" t="inlineStr">
        <is>
          <t>② Quy trình AS-IS / TO-BE</t>
        </is>
      </c>
      <c r="C26" s="18" t="inlineStr">
        <is>
          <t>Xử lý ngoại lệ</t>
        </is>
      </c>
      <c r="D26" s="20" t="inlineStr">
        <is>
          <t>Chưa có</t>
        </is>
      </c>
      <c r="E26" s="13" t="inlineStr"/>
      <c r="F26" s="13" t="inlineStr"/>
      <c r="G26" s="13" t="inlineStr">
        <is>
          <t>AI không đủ tín hiệu để chấm thì sao. Thiếu trường bắt buộc thì có chấm không.</t>
        </is>
      </c>
      <c r="H26" s="14" t="n"/>
      <c r="I26" s="14" t="n"/>
      <c r="J26" s="14" t="n"/>
    </row>
    <row r="27" ht="44" customHeight="1">
      <c r="A27" s="16" t="n">
        <v>23</v>
      </c>
      <c r="B27" s="17" t="inlineStr">
        <is>
          <t>③ Đối tượng sử dụng</t>
        </is>
      </c>
      <c r="C27" s="18" t="inlineStr">
        <is>
          <t>Danh sách Telesale theo bậc</t>
        </is>
      </c>
      <c r="D27" s="20" t="inlineStr">
        <is>
          <t>Chưa có</t>
        </is>
      </c>
      <c r="E27" s="13" t="inlineStr"/>
      <c r="F27" s="13" t="inlineStr"/>
      <c r="G27" s="13" t="inlineStr">
        <is>
          <t>Tên, bậc, ca làm việc, tải tối đa mỗi người.</t>
        </is>
      </c>
      <c r="H27" s="14" t="n"/>
      <c r="I27" s="14" t="n"/>
      <c r="J27" s="14" t="n"/>
    </row>
    <row r="28" ht="44" customHeight="1">
      <c r="A28" s="16" t="n">
        <v>24</v>
      </c>
      <c r="B28" s="17" t="inlineStr">
        <is>
          <t>③ Đối tượng sử dụng</t>
        </is>
      </c>
      <c r="C28" s="18" t="inlineStr">
        <is>
          <t>Vai trò trong quy trình</t>
        </is>
      </c>
      <c r="D28" s="21" t="inlineStr">
        <is>
          <t>Một phần</t>
        </is>
      </c>
      <c r="E28" s="13" t="inlineStr">
        <is>
          <t>Khung đề xuất: nhân viên trực page (tạo lead, điền phiếu — chất lượng đầu vào phụ thuộc người này) · Telesale 3 bậc · điều phối / trưởng Telesale · bộ phận dữ liệu · lãnh đạo vận hành · CNTT.</t>
        </is>
      </c>
      <c r="F28" s="13" t="inlineStr">
        <is>
          <t>Đề xuất của đội dự án</t>
        </is>
      </c>
      <c r="G28" s="13" t="inlineStr">
        <is>
          <t>Xác nhận và bổ sung số lượng từng vai trò.</t>
        </is>
      </c>
      <c r="H28" s="14" t="n"/>
      <c r="I28" s="14" t="n"/>
      <c r="J28" s="14" t="n"/>
    </row>
    <row r="29" ht="44" customHeight="1">
      <c r="A29" s="16" t="n">
        <v>25</v>
      </c>
      <c r="B29" s="17" t="inlineStr">
        <is>
          <t>③ Đối tượng sử dụng</t>
        </is>
      </c>
      <c r="C29" s="18" t="inlineStr">
        <is>
          <t>Phân quyền</t>
        </is>
      </c>
      <c r="D29" s="20" t="inlineStr">
        <is>
          <t>Chưa có</t>
        </is>
      </c>
      <c r="E29" s="13" t="inlineStr"/>
      <c r="F29" s="13" t="inlineStr"/>
      <c r="G29" s="13" t="inlineStr">
        <is>
          <t>Ai sửa được mức ưu tiên AI đã chấm, có bắt buộc ghi lý do không. Ai điều chuyển được lead.</t>
        </is>
      </c>
      <c r="H29" s="14" t="n"/>
      <c r="I29" s="14" t="n"/>
      <c r="J29" s="14" t="n"/>
    </row>
    <row r="30" ht="44" customHeight="1">
      <c r="A30" s="16" t="n">
        <v>26</v>
      </c>
      <c r="B30" s="17" t="inlineStr">
        <is>
          <t>④ Mục tiêu &amp; hiệu quả</t>
        </is>
      </c>
      <c r="C30" s="18" t="inlineStr">
        <is>
          <t>Baseline — Xin số</t>
        </is>
      </c>
      <c r="D30" s="19" t="inlineStr">
        <is>
          <t>Đã có</t>
        </is>
      </c>
      <c r="E30" s="13" t="inlineStr">
        <is>
          <t>42% (mục tiêu 39% — đang vượt mục tiêu)</t>
        </is>
      </c>
      <c r="F30" s="13" t="inlineStr">
        <is>
          <t>Tab "Năng lực &amp; đào tạo"</t>
        </is>
      </c>
      <c r="G30" s="13" t="inlineStr"/>
      <c r="H30" s="14" t="n"/>
      <c r="I30" s="14" t="n"/>
      <c r="J30" s="14" t="n"/>
    </row>
    <row r="31" ht="44" customHeight="1">
      <c r="A31" s="16" t="n">
        <v>27</v>
      </c>
      <c r="B31" s="17" t="inlineStr">
        <is>
          <t>④ Mục tiêu &amp; hiệu quả</t>
        </is>
      </c>
      <c r="C31" s="18" t="inlineStr">
        <is>
          <t>Baseline — Kết nối / SĐT</t>
        </is>
      </c>
      <c r="D31" s="19" t="inlineStr">
        <is>
          <t>Đã có</t>
        </is>
      </c>
      <c r="E31" s="13" t="inlineStr">
        <is>
          <t>72% — KHÂU HỔNG NẶNG NHẤT</t>
        </is>
      </c>
      <c r="F31" s="13" t="inlineStr">
        <is>
          <t>Tab "Năng lực &amp; đào tạo"</t>
        </is>
      </c>
      <c r="G31" s="13" t="inlineStr">
        <is>
          <t>Mục tiêu 80% (tài liệu gốc) hay 78% (bộ module) — CẦN CHỐT.</t>
        </is>
      </c>
      <c r="H31" s="14" t="n"/>
      <c r="I31" s="14" t="n"/>
      <c r="J31" s="14" t="n"/>
    </row>
    <row r="32" ht="44" customHeight="1">
      <c r="A32" s="16" t="n">
        <v>28</v>
      </c>
      <c r="B32" s="17" t="inlineStr">
        <is>
          <t>④ Mục tiêu &amp; hiệu quả</t>
        </is>
      </c>
      <c r="C32" s="18" t="inlineStr">
        <is>
          <t>Baseline — Chuyển đổi tổng (inbox → booking)</t>
        </is>
      </c>
      <c r="D32" s="19" t="inlineStr">
        <is>
          <t>Đã có</t>
        </is>
      </c>
      <c r="E32" s="13" t="inlineStr">
        <is>
          <t>13,7%</t>
        </is>
      </c>
      <c r="F32" s="13" t="inlineStr">
        <is>
          <t>Tab "Năng lực &amp; đào tạo"</t>
        </is>
      </c>
      <c r="G32" s="13" t="inlineStr">
        <is>
          <t>Mục tiêu 16,5%.</t>
        </is>
      </c>
      <c r="H32" s="14" t="n"/>
      <c r="I32" s="14" t="n"/>
      <c r="J32" s="14" t="n"/>
    </row>
    <row r="33" ht="44" customHeight="1">
      <c r="A33" s="16" t="n">
        <v>29</v>
      </c>
      <c r="B33" s="17" t="inlineStr">
        <is>
          <t>④ Mục tiêu &amp; hiệu quả</t>
        </is>
      </c>
      <c r="C33" s="18" t="inlineStr">
        <is>
          <t>Baseline — HOT gọi đúng SLA</t>
        </is>
      </c>
      <c r="D33" s="20" t="inlineStr">
        <is>
          <t>Chưa có</t>
        </is>
      </c>
      <c r="E33" s="13" t="inlineStr"/>
      <c r="F33" s="13" t="inlineStr"/>
      <c r="G33" s="13" t="inlineStr">
        <is>
          <t>Chỉ đo được sau khi có định nghĩa đồng hồ SLA.</t>
        </is>
      </c>
      <c r="H33" s="14" t="n"/>
      <c r="I33" s="14" t="n"/>
      <c r="J33" s="14" t="n"/>
    </row>
    <row r="34" ht="44" customHeight="1">
      <c r="A34" s="16" t="n">
        <v>30</v>
      </c>
      <c r="B34" s="17" t="inlineStr">
        <is>
          <t>④ Mục tiêu &amp; hiệu quả</t>
        </is>
      </c>
      <c r="C34" s="18" t="inlineStr">
        <is>
          <t>Baseline — tỷ lệ phiếu đủ trường</t>
        </is>
      </c>
      <c r="D34" s="20" t="inlineStr">
        <is>
          <t>Chưa có</t>
        </is>
      </c>
      <c r="E34" s="13" t="inlineStr"/>
      <c r="F34" s="13" t="inlineStr"/>
      <c r="G34" s="13" t="inlineStr"/>
      <c r="H34" s="14" t="n"/>
      <c r="I34" s="14" t="n"/>
      <c r="J34" s="14" t="n"/>
    </row>
    <row r="35" ht="44" customHeight="1">
      <c r="A35" s="16" t="n">
        <v>31</v>
      </c>
      <c r="B35" s="17" t="inlineStr">
        <is>
          <t>④ Mục tiêu &amp; hiệu quả</t>
        </is>
      </c>
      <c r="C35" s="18" t="inlineStr">
        <is>
          <t>Baseline — tỷ lệ HOT trên tổng lead</t>
        </is>
      </c>
      <c r="D35" s="20" t="inlineStr">
        <is>
          <t>Chưa có</t>
        </is>
      </c>
      <c r="E35" s="13" t="inlineStr"/>
      <c r="F35" s="13" t="inlineStr"/>
      <c r="G35" s="13" t="inlineStr">
        <is>
          <t>Cần để theo dõi rủi ro lạm phát HOT.</t>
        </is>
      </c>
      <c r="H35" s="14" t="n"/>
      <c r="I35" s="14" t="n"/>
      <c r="J35" s="14" t="n"/>
    </row>
    <row r="36" ht="44" customHeight="1">
      <c r="A36" s="16" t="n">
        <v>32</v>
      </c>
      <c r="B36" s="17" t="inlineStr">
        <is>
          <t>④ Mục tiêu &amp; hiệu quả</t>
        </is>
      </c>
      <c r="C36" s="18" t="inlineStr">
        <is>
          <t>Mục tiêu</t>
        </is>
      </c>
      <c r="D36" s="19" t="inlineStr">
        <is>
          <t>Đã có</t>
        </is>
      </c>
      <c r="E36" s="13" t="inlineStr">
        <is>
          <t>HOT gọi đúng SLA ≥ 90% · số được phân loại và có phiếu đủ ≥ 95% · Booking/HOT ≥ 60% · Booking/WARM ≥ 35%.</t>
        </is>
      </c>
      <c r="F36" s="13" t="inlineStr">
        <is>
          <t>Playbook T10 · K8 §8</t>
        </is>
      </c>
      <c r="G36" s="13" t="inlineStr"/>
      <c r="H36" s="14" t="n"/>
      <c r="I36" s="14" t="n"/>
      <c r="J36" s="14" t="n"/>
    </row>
    <row r="37" ht="44" customHeight="1">
      <c r="A37" s="16" t="n">
        <v>33</v>
      </c>
      <c r="B37" s="17" t="inlineStr">
        <is>
          <t>④ Mục tiêu &amp; hiệu quả</t>
        </is>
      </c>
      <c r="C37" s="18" t="inlineStr">
        <is>
          <t>Quy đổi hiệu quả</t>
        </is>
      </c>
      <c r="D37" s="20" t="inlineStr">
        <is>
          <t>Chưa có</t>
        </is>
      </c>
      <c r="E37" s="13" t="inlineStr"/>
      <c r="F37" s="13" t="inlineStr"/>
      <c r="G37" s="13" t="inlineStr">
        <is>
          <t>Tác động trực tiếp nhất tới doanh thu. Cần quy đổi ra số lead chuyển đổi tăng thêm.</t>
        </is>
      </c>
      <c r="H37" s="14" t="n"/>
      <c r="I37" s="14" t="n"/>
      <c r="J37" s="14" t="n"/>
    </row>
    <row r="38" ht="44" customHeight="1">
      <c r="A38" s="16" t="n">
        <v>34</v>
      </c>
      <c r="B38" s="17" t="inlineStr">
        <is>
          <t>④ Mục tiêu &amp; hiệu quả</t>
        </is>
      </c>
      <c r="C38" s="18" t="inlineStr">
        <is>
          <t>Điểm ưu tiên triển khai</t>
        </is>
      </c>
      <c r="D38" s="21" t="inlineStr">
        <is>
          <t>Một phần</t>
        </is>
      </c>
      <c r="E38" s="13" t="inlineStr">
        <is>
          <t>Đề xuất ƯU TIÊN 2. Tri thức đã chốt, nhưng CHỈ PHÁT HUY khi đồng hồ SLA và luật định tuyến đã có — chấm điểm mà không ai gọi đúng giờ thì điểm số không tạo ra giá trị nào.</t>
        </is>
      </c>
      <c r="F38" s="13" t="inlineStr">
        <is>
          <t>Đề xuất của đội dự án</t>
        </is>
      </c>
      <c r="G38" s="13" t="inlineStr">
        <is>
          <t>Kangnam và CNTT xác nhận.</t>
        </is>
      </c>
      <c r="H38" s="14" t="n"/>
      <c r="I38" s="14" t="n"/>
      <c r="J38" s="14" t="n"/>
    </row>
    <row r="40">
      <c r="C40" s="22" t="inlineStr">
        <is>
          <t>Tổng số hạng mục</t>
        </is>
      </c>
      <c r="D40" s="23">
        <f>COUNTA(C5:C38)</f>
        <v/>
      </c>
    </row>
    <row r="41">
      <c r="C41" s="22" t="inlineStr">
        <is>
          <t>Đã bổ sung (số ô cột H đã điền)</t>
        </is>
      </c>
      <c r="D41" s="23">
        <f>COUNTA(H5:H38)</f>
        <v/>
      </c>
    </row>
    <row r="42">
      <c r="C42" s="22" t="inlineStr">
        <is>
          <t>Còn lại chưa bổ sung</t>
        </is>
      </c>
      <c r="D42" s="23">
        <f>D40-D41</f>
        <v/>
      </c>
    </row>
    <row r="44">
      <c r="C44" s="24" t="inlineStr">
        <is>
          <t>Ghi chú: cột D nhận 3 giá trị — Đã có / Một phần / Chưa có. Cập nhật lại cột D khi đã bổ sung xong tài liệu.</t>
        </is>
      </c>
    </row>
  </sheetData>
  <mergeCells count="2">
    <mergeCell ref="A1:J1"/>
    <mergeCell ref="A2:J2"/>
  </mergeCells>
  <dataValidations count="1">
    <dataValidation sqref="D5 D6 D7 D8 D9 D10 D11 D12 D13 D14 D15 D16 D17 D18 D19 D20 D21 D22 D23 D24 D25 D26 D27 D28 D29 D30 D31 D32 D33 D34 D35 D36 D37 D38" showDropDown="0" showInputMessage="0" showErrorMessage="0" allowBlank="1" type="list">
      <formula1>"Đã có,Một phần,Chưa có"</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40" customWidth="1" min="2" max="2"/>
    <col width="36" customWidth="1" min="3" max="3"/>
    <col width="36" customWidth="1" min="4" max="4"/>
    <col width="26" customWidth="1" min="5" max="5"/>
    <col width="20" customWidth="1" min="6" max="6"/>
    <col width="14" customWidth="1" min="7" max="7"/>
  </cols>
  <sheetData>
    <row r="1" ht="24" customHeight="1">
      <c r="A1" s="1" t="inlineStr">
        <is>
          <t>SỐ LIỆU ĐANG VÊNH GIỮA CÁC NGUỒN — CẦN CHỐT TRƯỚC</t>
        </is>
      </c>
    </row>
    <row r="2" ht="32" customHeight="1">
      <c r="A2" s="2" t="inlineStr">
        <is>
          <t>Nhỏ, nhưng nếu đưa vào tiêu chí nghiệm thu mà hai bên cầm hai con số khác nhau thì đến lúc nghiệm thu mới phát sinh tranh cãi.</t>
        </is>
      </c>
    </row>
    <row r="4" ht="36" customHeight="1">
      <c r="A4" s="11" t="inlineStr">
        <is>
          <t>STT</t>
        </is>
      </c>
      <c r="B4" s="11" t="inlineStr">
        <is>
          <t>Nội dung</t>
        </is>
      </c>
      <c r="C4" s="11" t="inlineStr">
        <is>
          <t>Tài liệu gốc ghi</t>
        </is>
      </c>
      <c r="D4" s="11" t="inlineStr">
        <is>
          <t>Bộ module ghi</t>
        </is>
      </c>
      <c r="E4" s="11" t="inlineStr">
        <is>
          <t>CHỐT DÙNG SỐ NÀO</t>
        </is>
      </c>
      <c r="F4" s="11" t="inlineStr">
        <is>
          <t>NGƯỜI QUYẾT</t>
        </is>
      </c>
      <c r="G4" s="11" t="inlineStr">
        <is>
          <t>NGÀY CHỐT</t>
        </is>
      </c>
    </row>
    <row r="5" ht="38" customHeight="1">
      <c r="A5" s="16" t="n">
        <v>1</v>
      </c>
      <c r="B5" s="18" t="inlineStr">
        <is>
          <t>Mục tiêu tỷ lệ kết nối</t>
        </is>
      </c>
      <c r="C5" s="13" t="inlineStr">
        <is>
          <t>80%</t>
        </is>
      </c>
      <c r="D5" s="13" t="inlineStr">
        <is>
          <t>≥ 78%</t>
        </is>
      </c>
      <c r="E5" s="14" t="n"/>
      <c r="F5" s="14" t="n"/>
      <c r="G5" s="14" t="n"/>
    </row>
    <row r="6" ht="38" customHeight="1">
      <c r="A6" s="16" t="n">
        <v>2</v>
      </c>
      <c r="B6" s="18" t="inlineStr">
        <is>
          <t>Mục tiêu tỷ lệ chốt lịch sau kết nối</t>
        </is>
      </c>
      <c r="C6" s="13" t="inlineStr">
        <is>
          <t>51%</t>
        </is>
      </c>
      <c r="D6" s="13" t="inlineStr">
        <is>
          <t>≥ 50%</t>
        </is>
      </c>
      <c r="E6" s="14" t="n"/>
      <c r="F6" s="14" t="n"/>
      <c r="G6" s="14" t="n"/>
    </row>
    <row r="7" ht="38" customHeight="1">
      <c r="A7" s="16" t="n">
        <v>3</v>
      </c>
      <c r="B7" s="18" t="inlineStr">
        <is>
          <t>Nhịp chăm khách đang tư vấn chưa ra số</t>
        </is>
      </c>
      <c r="C7" s="13" t="inlineStr">
        <is>
          <t>Nhắn lại sau 3h, ngày 3 lần, liên tục trong 4 ngày</t>
        </is>
      </c>
      <c r="D7" s="13" t="inlineStr">
        <is>
          <t>Sau 1 ngày, trong vòng 7 ngày, lúc 9h và 15h</t>
        </is>
      </c>
      <c r="E7" s="14" t="n"/>
      <c r="F7" s="14" t="n"/>
      <c r="G7" s="14" t="n"/>
    </row>
    <row r="8" ht="38" customHeight="1">
      <c r="A8" s="16" t="n">
        <v>4</v>
      </c>
      <c r="B8" s="18" t="inlineStr">
        <is>
          <t>Số nhân sự trực page được đánh giá</t>
        </is>
      </c>
      <c r="C8" s="13" t="inlineStr">
        <is>
          <t>15 người</t>
        </is>
      </c>
      <c r="D8" s="13" t="inlineStr">
        <is>
          <t>17 người</t>
        </is>
      </c>
      <c r="E8" s="14" t="n"/>
      <c r="F8" s="14" t="n"/>
      <c r="G8" s="14" t="n"/>
    </row>
    <row r="10">
      <c r="B10" s="24" t="inlineStr">
        <is>
          <t>Bổ sung các số liệu khác nếu phát hiện thêm trong quá trình rà soát:</t>
        </is>
      </c>
    </row>
    <row r="11" ht="30" customHeight="1">
      <c r="A11" s="16" t="n">
        <v>5</v>
      </c>
      <c r="B11" s="25" t="n"/>
      <c r="C11" s="25" t="n"/>
      <c r="D11" s="25" t="n"/>
      <c r="E11" s="25" t="n"/>
      <c r="F11" s="25" t="n"/>
      <c r="G11" s="25" t="n"/>
    </row>
    <row r="12" ht="30" customHeight="1">
      <c r="A12" s="16" t="n">
        <v>6</v>
      </c>
      <c r="B12" s="25" t="n"/>
      <c r="C12" s="25" t="n"/>
      <c r="D12" s="25" t="n"/>
      <c r="E12" s="25" t="n"/>
      <c r="F12" s="25" t="n"/>
      <c r="G12" s="25" t="n"/>
    </row>
    <row r="13" ht="30" customHeight="1">
      <c r="A13" s="16" t="n">
        <v>7</v>
      </c>
      <c r="B13" s="25" t="n"/>
      <c r="C13" s="25" t="n"/>
      <c r="D13" s="25" t="n"/>
      <c r="E13" s="25" t="n"/>
      <c r="F13" s="25" t="n"/>
      <c r="G13" s="25" t="n"/>
    </row>
    <row r="14" ht="30" customHeight="1">
      <c r="A14" s="16" t="n">
        <v>8</v>
      </c>
      <c r="B14" s="25" t="n"/>
      <c r="C14" s="25" t="n"/>
      <c r="D14" s="25" t="n"/>
      <c r="E14" s="25" t="n"/>
      <c r="F14" s="25" t="n"/>
      <c r="G14" s="25" t="n"/>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42" customWidth="1" min="2" max="2"/>
    <col width="17" customWidth="1" min="3" max="3"/>
    <col width="56" customWidth="1" min="4" max="4"/>
    <col width="46" customWidth="1" min="5" max="5"/>
    <col width="20" customWidth="1" min="6" max="6"/>
    <col width="28" customWidth="1" min="7" max="7"/>
  </cols>
  <sheetData>
    <row r="1" ht="24" customHeight="1">
      <c r="A1" s="1" t="inlineStr">
        <is>
          <t>DANH MỤC TÀI LIỆU NGUỒN HIỆN CÓ</t>
        </is>
      </c>
    </row>
    <row r="2" ht="32" customHeight="1">
      <c r="A2" s="2" t="inlineStr">
        <is>
          <t>Hai tài liệu đầu là bản gốc. Bộ module là bản dẫn xuất đã cấu trúc hoá để nạp cho AI.</t>
        </is>
      </c>
    </row>
    <row r="4" ht="36" customHeight="1">
      <c r="A4" s="11" t="inlineStr">
        <is>
          <t>STT</t>
        </is>
      </c>
      <c r="B4" s="11" t="inlineStr">
        <is>
          <t>Tên tài liệu</t>
        </is>
      </c>
      <c r="C4" s="11" t="inlineStr">
        <is>
          <t>Dạng</t>
        </is>
      </c>
      <c r="D4" s="11" t="inlineStr">
        <is>
          <t>Phủ được gì</t>
        </is>
      </c>
      <c r="E4" s="11" t="inlineStr">
        <is>
          <t>Đường dẫn / Vị trí</t>
        </is>
      </c>
      <c r="F4" s="11" t="inlineStr">
        <is>
          <t>TRẠNG THÁI DUYỆT</t>
        </is>
      </c>
      <c r="G4" s="11" t="inlineStr">
        <is>
          <t>GHI CHÚ</t>
        </is>
      </c>
    </row>
    <row r="5" ht="52" customHeight="1">
      <c r="A5" s="16" t="n">
        <v>1</v>
      </c>
      <c r="B5" s="18" t="inlineStr">
        <is>
          <t>Playbook Trực Page Tháng 10</t>
        </is>
      </c>
      <c r="C5" s="13" t="inlineStr">
        <is>
          <t>Văn bản</t>
        </is>
      </c>
      <c r="D5" s="13" t="inlineStr">
        <is>
          <t>Ma trận năng lực nhân sự · khung tư vấn 5 bước · phân loại HOT/WARM/COLD · bàn giao và SLA · chuỗi chăm sóc T+0→T+7 · bảng chấm 10 tiêu chí · kế hoạch đào tạo · KPI và rủi ro</t>
        </is>
      </c>
      <c r="E5" s="13" t="inlineStr">
        <is>
          <t>https://claude.ai/artifact/Y2kfjUUJ3z4tF54DPsbzwg</t>
        </is>
      </c>
      <c r="F5" s="14" t="n"/>
      <c r="G5" s="14" t="n"/>
    </row>
    <row r="6" ht="52" customHeight="1">
      <c r="A6" s="16" t="n">
        <v>2</v>
      </c>
      <c r="B6" s="18" t="inlineStr">
        <is>
          <t>1. Trực page — Tối ưu kịch bản tư vấn và chăm sóc sau xin số</t>
        </is>
      </c>
      <c r="C6" s="13" t="inlineStr">
        <is>
          <t>Bảng tính, 9 tab</t>
        </is>
      </c>
      <c r="D6" s="13" t="inlineStr">
        <is>
          <t>Kịch bản tiêu chuẩn · Năng lực &amp; đào tạo (CÓ BASELINE) · Cài đặt KB lên hệ thống · Thúc đẩy chuyển đổi · Kịch bản chiến dịch tháng · Vận hành xử lý dữ liệu · Kế hoạch công việc kèm người và deadline · Danh sách page theo dịch vụ</t>
        </is>
      </c>
      <c r="E6" s="13" t="inlineStr">
        <is>
          <t>https://docs.google.com/spreadsheets/d/1-iNOSA4FIAfyRe1cWBzLdpY_U6C3mjrv3x_aQfbZ0SU</t>
        </is>
      </c>
      <c r="F6" s="14" t="n"/>
      <c r="G6" s="14" t="n"/>
    </row>
    <row r="7" ht="52" customHeight="1">
      <c r="A7" s="16" t="n">
        <v>3</v>
      </c>
      <c r="B7" s="18" t="inlineStr">
        <is>
          <t>Bộ module tri thức K1–K8 + template A1–A4</t>
        </is>
      </c>
      <c r="C7" s="13" t="inlineStr">
        <is>
          <t>Thư mục file .md</t>
        </is>
      </c>
      <c r="D7" s="13" t="inlineStr">
        <is>
          <t>Bản đã cấu trúc hoá từ hai tài liệu trên, dạng máy đọc được — nạp thẳng cho AI</t>
        </is>
      </c>
      <c r="E7" s="13" t="inlineStr">
        <is>
          <t>https://github.com/huudinh/Kangnam-Agent-Factory</t>
        </is>
      </c>
      <c r="F7" s="14" t="n"/>
      <c r="G7" s="14" t="n"/>
    </row>
    <row r="8" ht="52" customHeight="1">
      <c r="A8" s="16" t="n">
        <v>4</v>
      </c>
      <c r="B8" s="18" t="inlineStr">
        <is>
          <t>Trang hướng dẫn Agent Factory Kangnam</t>
        </is>
      </c>
      <c r="C8" s="13" t="inlineStr">
        <is>
          <t>Trang web</t>
        </is>
      </c>
      <c r="D8" s="13" t="inlineStr">
        <is>
          <t>Hướng dẫn cài đặt, câu lệnh, QA cơ bản, và hồ sơ bàn giao CNTT (mục 7)</t>
        </is>
      </c>
      <c r="E8" s="13" t="inlineStr">
        <is>
          <t>https://claude.ai/artifact/PWmzQ3PkLfZ6yjnt8gm8K2</t>
        </is>
      </c>
      <c r="F8" s="14" t="n"/>
      <c r="G8" s="14" t="n"/>
    </row>
    <row r="9" ht="52" customHeight="1">
      <c r="A9" s="16" t="n">
        <v>5</v>
      </c>
      <c r="B9" s="18" t="inlineStr">
        <is>
          <t>File chấm điểm 100 mẫu + bảng tổng hợp lỗi</t>
        </is>
      </c>
      <c r="C9" s="13" t="inlineStr">
        <is>
          <t>Chưa xác định</t>
        </is>
      </c>
      <c r="D9" s="13" t="inlineStr">
        <is>
          <t>NẾU ĐÃ HOÀN THÀNH: vừa là bộ mẫu vàng cho AI QC, vừa cho ra baseline điểm trung bình và bảng tần suất lỗi — một việc giải quyết hai hạng mục</t>
        </is>
      </c>
      <c r="E9" s="13" t="inlineStr"/>
      <c r="F9" s="14" t="n"/>
      <c r="G9" s="14" t="n"/>
    </row>
    <row r="11">
      <c r="B11" s="24" t="inlineStr">
        <is>
          <t>Lưu ý: tài liệu Playbook hiện không thuộc tài khoản của đội dự án, nên chưa rõ ai được sửa và bản nào là bản đã duyệt.</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5" customWidth="1" min="1" max="1"/>
    <col width="42" customWidth="1" min="2" max="2"/>
    <col width="50" customWidth="1" min="3" max="3"/>
    <col width="42" customWidth="1" min="4" max="4"/>
    <col width="22" customWidth="1" min="5" max="5"/>
    <col width="14" customWidth="1" min="6" max="6"/>
    <col width="18" customWidth="1" min="7" max="7"/>
  </cols>
  <sheetData>
    <row r="1" ht="24" customHeight="1">
      <c r="A1" s="1" t="inlineStr">
        <is>
          <t>VIỆC CẦN LÀM ĐỂ TRẢ LỜI ĐỦ CHO CNTT</t>
        </is>
      </c>
    </row>
    <row r="2" ht="32" customHeight="1">
      <c r="A2" s="2" t="inlineStr">
        <is>
          <t>Bốn việc đầu không cần viết dòng code nào và không phải chờ ai bên ngoài.</t>
        </is>
      </c>
    </row>
    <row r="4" ht="36" customHeight="1">
      <c r="A4" s="11" t="inlineStr">
        <is>
          <t>STT</t>
        </is>
      </c>
      <c r="B4" s="11" t="inlineStr">
        <is>
          <t>Việc</t>
        </is>
      </c>
      <c r="C4" s="11" t="inlineStr">
        <is>
          <t>Vì sao cần</t>
        </is>
      </c>
      <c r="D4" s="11" t="inlineStr">
        <is>
          <t>Đầu ra mong đợi</t>
        </is>
      </c>
      <c r="E4" s="11" t="inlineStr">
        <is>
          <t>NGƯỜI PHỤ TRÁCH</t>
        </is>
      </c>
      <c r="F4" s="11" t="inlineStr">
        <is>
          <t>DEADLINE</t>
        </is>
      </c>
      <c r="G4" s="11" t="inlineStr">
        <is>
          <t>TRẠNG THÁI</t>
        </is>
      </c>
    </row>
    <row r="5" ht="46" customHeight="1">
      <c r="A5" s="16" t="n">
        <v>1</v>
      </c>
      <c r="B5" s="18" t="inlineStr">
        <is>
          <t>Chốt 4 con số đang vênh</t>
        </is>
      </c>
      <c r="C5" s="13" t="inlineStr">
        <is>
          <t>Tránh tranh cãi lúc nghiệm thu nếu hai bên cầm hai con số khác nhau</t>
        </is>
      </c>
      <c r="D5" s="13" t="inlineStr">
        <is>
          <t>Sheet "4. Số liệu cần chốt" đã điền xong cột E</t>
        </is>
      </c>
      <c r="E5" s="14" t="n"/>
      <c r="F5" s="14" t="n"/>
      <c r="G5" s="14" t="n"/>
    </row>
    <row r="6" ht="46" customHeight="1">
      <c r="A6" s="16" t="n">
        <v>2</v>
      </c>
      <c r="B6" s="18" t="inlineStr">
        <is>
          <t>Xin file "Chấm điểm 100 mẫu" và xác nhận bản đã duyệt</t>
        </is>
      </c>
      <c r="C6" s="13" t="inlineStr">
        <is>
          <t>Nếu có rồi thì bộ mẫu vàng VÀ baseline của AI QC coi như xong — đỡ được hạng mục nặng nhất</t>
        </is>
      </c>
      <c r="D6" s="13" t="inlineStr">
        <is>
          <t>File + văn bản xác nhận đây là bản đã duyệt</t>
        </is>
      </c>
      <c r="E6" s="14" t="n"/>
      <c r="F6" s="14" t="n"/>
      <c r="G6" s="14" t="n"/>
    </row>
    <row r="7" ht="46" customHeight="1">
      <c r="A7" s="16" t="n">
        <v>3</v>
      </c>
      <c r="B7" s="18" t="inlineStr">
        <is>
          <t>Kiểm tra trạng thái đầu việc "Họp với CNTT làm công cụ QC" (hạn 8/10)</t>
        </is>
      </c>
      <c r="C7" s="13" t="inlineStr">
        <is>
          <t>Việc này đã có chủ và đã quá hạn — có thể đã bắt đầu rồi, tránh mở luồng yêu cầu trùng lặp</t>
        </is>
      </c>
      <c r="D7" s="13" t="inlineStr">
        <is>
          <t>Biên bản họp + yêu cầu kỹ thuật công cụ QC</t>
        </is>
      </c>
      <c r="E7" s="14" t="n"/>
      <c r="F7" s="14" t="n"/>
      <c r="G7" s="14" t="n"/>
    </row>
    <row r="8" ht="46" customHeight="1">
      <c r="A8" s="16" t="n">
        <v>4</v>
      </c>
      <c r="B8" s="18" t="inlineStr">
        <is>
          <t>Chốt nguồn sự thật của trạng thái (người gán hay máy gán)</t>
        </is>
      </c>
      <c r="C8" s="13" t="inlineStr">
        <is>
          <t>Cả ba trợ lý đều chạy trên trạng thái này. Không chốt thì mọi thứ sau phải làm lại</t>
        </is>
      </c>
      <c r="D8" s="13" t="inlineStr">
        <is>
          <t>Văn bản quy định + quy tắc xử lý khi hai bên gán lệch</t>
        </is>
      </c>
      <c r="E8" s="14" t="n"/>
      <c r="F8" s="14" t="n"/>
      <c r="G8" s="14" t="n"/>
    </row>
    <row r="9" ht="46" customHeight="1">
      <c r="A9" s="16" t="n">
        <v>5</v>
      </c>
      <c r="B9" s="18" t="inlineStr">
        <is>
          <t>Viết tài liệu nhóm ② và ③ cho AI QC trước</t>
        </is>
      </c>
      <c r="C9" s="13" t="inlineStr">
        <is>
          <t>Đây là phần đang chặn CNTT ước lượng effort. Làm xong một bộ mẫu rồi nhân sang hai trợ lý kia</t>
        </is>
      </c>
      <c r="D9" s="13" t="inlineStr">
        <is>
          <t>Tài liệu quy trình AS-IS / TO-BE + danh sách vai trò và phân quyền</t>
        </is>
      </c>
      <c r="E9" s="14" t="n"/>
      <c r="F9" s="14" t="n"/>
      <c r="G9" s="14" t="n"/>
    </row>
    <row r="10" ht="46" customHeight="1">
      <c r="A10" s="16" t="n">
        <v>6</v>
      </c>
      <c r="B10" s="18" t="inlineStr">
        <is>
          <t>Chốt ngưỡng cho bộ tiêu chí đánh giá chất lượng AI (cả 3 trợ lý)</t>
        </is>
      </c>
      <c r="C10" s="13" t="inlineStr">
        <is>
          <t>Khung đề xuất đã có sẵn trong sheet 1–3, chỉ cần Kangnam chốt con số</t>
        </is>
      </c>
      <c r="D10" s="13" t="inlineStr">
        <is>
          <t>Bảng tiêu chí đã duyệt, dùng làm căn cứ nghiệm thu</t>
        </is>
      </c>
      <c r="E10" s="14" t="n"/>
      <c r="F10" s="14" t="n"/>
      <c r="G10" s="14" t="n"/>
    </row>
    <row r="11" ht="46" customHeight="1">
      <c r="A11" s="16" t="n">
        <v>7</v>
      </c>
      <c r="B11" s="18" t="inlineStr">
        <is>
          <t>CNTT trả lời phần hạ tầng</t>
        </is>
      </c>
      <c r="C11" s="13" t="inlineStr">
        <is>
          <t>Quyết định phương án tích hợp có khả thi không</t>
        </is>
      </c>
      <c r="D11" s="13" t="inlineStr">
        <is>
          <t>AI chạy ở đâu, đọc dữ liệu Caresoft bằng cách nào, log lưu đâu, ràng buộc với dữ liệu định danh khách</t>
        </is>
      </c>
      <c r="E11" s="14" t="n"/>
      <c r="F11" s="14" t="n"/>
      <c r="G11" s="14" t="n"/>
    </row>
    <row r="12" ht="46" customHeight="1">
      <c r="A12" s="16" t="n">
        <v>8</v>
      </c>
      <c r="B12" s="18" t="inlineStr">
        <is>
          <t>Triển khai AI QC phạm vi hẹp, chạy song song với QC người</t>
        </is>
      </c>
      <c r="C12" s="13" t="inlineStr">
        <is>
          <t>Đối chiếu trước khi mở rộng — rủi ro thấp nhất trong ba trợ lý</t>
        </is>
      </c>
      <c r="D12" s="13" t="inlineStr">
        <is>
          <t>Báo cáo đối chiếu sau giai đoạn chạy thử</t>
        </is>
      </c>
      <c r="E12" s="14" t="n"/>
      <c r="F12" s="14" t="n"/>
      <c r="G12" s="14" t="n"/>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1"/>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6" customWidth="1" min="1" max="1"/>
    <col width="16" customWidth="1" min="2" max="2"/>
    <col width="14" customWidth="1" min="3" max="3"/>
    <col width="14" customWidth="1" min="4" max="4"/>
    <col width="14" customWidth="1" min="5" max="5"/>
    <col width="16" customWidth="1" min="6" max="6"/>
  </cols>
  <sheetData>
    <row r="1" ht="24" customHeight="1">
      <c r="A1" s="1" t="inlineStr">
        <is>
          <t>TỔNG HỢP MỨC ĐÁP ỨNG</t>
        </is>
      </c>
    </row>
    <row r="2" ht="32" customHeight="1">
      <c r="A2" s="2" t="inlineStr">
        <is>
          <t>Bảng trên tự động tính từ sheet 1–3, không cần điền tay.</t>
        </is>
      </c>
    </row>
    <row r="4" ht="36" customHeight="1">
      <c r="A4" s="11" t="inlineStr">
        <is>
          <t>Trợ lý AI</t>
        </is>
      </c>
      <c r="B4" s="11" t="inlineStr">
        <is>
          <t>Tổng hạng mục</t>
        </is>
      </c>
      <c r="C4" s="11" t="inlineStr">
        <is>
          <t>Đã có</t>
        </is>
      </c>
      <c r="D4" s="11" t="inlineStr">
        <is>
          <t>Một phần</t>
        </is>
      </c>
      <c r="E4" s="11" t="inlineStr">
        <is>
          <t>Chưa có</t>
        </is>
      </c>
      <c r="F4" s="11" t="inlineStr">
        <is>
          <t>Đã bổ sung</t>
        </is>
      </c>
    </row>
    <row r="5" ht="26" customHeight="1">
      <c r="A5" s="18" t="inlineStr">
        <is>
          <t>1. AI QC</t>
        </is>
      </c>
      <c r="B5" s="16">
        <f>COUNTA('1. AI QC'!$C$5:$C$30)</f>
        <v/>
      </c>
      <c r="C5" s="16">
        <f>COUNTIF('1. AI QC'!$D$5:$D$30,"Đã có")</f>
        <v/>
      </c>
      <c r="D5" s="16">
        <f>COUNTIF('1. AI QC'!$D$5:$D$30,"Một phần")</f>
        <v/>
      </c>
      <c r="E5" s="16">
        <f>COUNTIF('1. AI QC'!$D$5:$D$30,"Chưa có")</f>
        <v/>
      </c>
      <c r="F5" s="16">
        <f>COUNTA('1. AI QC'!$H$5:$H$30)</f>
        <v/>
      </c>
    </row>
    <row r="6" ht="26" customHeight="1">
      <c r="A6" s="18" t="inlineStr">
        <is>
          <t>2. AI Nhắc lịch TeleSale</t>
        </is>
      </c>
      <c r="B6" s="16">
        <f>COUNTA('2. AI Nhắc lịch TeleSale'!$C$5:$C$35)</f>
        <v/>
      </c>
      <c r="C6" s="16">
        <f>COUNTIF('2. AI Nhắc lịch TeleSale'!$D$5:$D$35,"Đã có")</f>
        <v/>
      </c>
      <c r="D6" s="16">
        <f>COUNTIF('2. AI Nhắc lịch TeleSale'!$D$5:$D$35,"Một phần")</f>
        <v/>
      </c>
      <c r="E6" s="16">
        <f>COUNTIF('2. AI Nhắc lịch TeleSale'!$D$5:$D$35,"Chưa có")</f>
        <v/>
      </c>
      <c r="F6" s="16">
        <f>COUNTA('2. AI Nhắc lịch TeleSale'!$H$5:$H$35)</f>
        <v/>
      </c>
    </row>
    <row r="7" ht="26" customHeight="1">
      <c r="A7" s="18" t="inlineStr">
        <is>
          <t>3. AI Lead Scoring</t>
        </is>
      </c>
      <c r="B7" s="16">
        <f>COUNTA('3. AI Lead Scoring'!$C$5:$C$38)</f>
        <v/>
      </c>
      <c r="C7" s="16">
        <f>COUNTIF('3. AI Lead Scoring'!$D$5:$D$38,"Đã có")</f>
        <v/>
      </c>
      <c r="D7" s="16">
        <f>COUNTIF('3. AI Lead Scoring'!$D$5:$D$38,"Một phần")</f>
        <v/>
      </c>
      <c r="E7" s="16">
        <f>COUNTIF('3. AI Lead Scoring'!$D$5:$D$38,"Chưa có")</f>
        <v/>
      </c>
      <c r="F7" s="16">
        <f>COUNTA('3. AI Lead Scoring'!$H$5:$H$38)</f>
        <v/>
      </c>
    </row>
    <row r="8" ht="26" customHeight="1">
      <c r="A8" s="26" t="inlineStr">
        <is>
          <t>TỔNG CỘNG</t>
        </is>
      </c>
      <c r="B8" s="23">
        <f>SUM(B5:B7)</f>
        <v/>
      </c>
      <c r="C8" s="23">
        <f>SUM(C5:C7)</f>
        <v/>
      </c>
      <c r="D8" s="23">
        <f>SUM(D5:D7)</f>
        <v/>
      </c>
      <c r="E8" s="23">
        <f>SUM(E5:E7)</f>
        <v/>
      </c>
      <c r="F8" s="23">
        <f>SUM(F5:F7)</f>
        <v/>
      </c>
    </row>
    <row r="10">
      <c r="A10" s="3" t="inlineStr">
        <is>
          <t>MA TRẬN ĐÁP ỨNG THEO NHÓM TÀI LIỆU</t>
        </is>
      </c>
    </row>
    <row r="11" ht="32" customHeight="1">
      <c r="A11" s="11" t="inlineStr">
        <is>
          <t>Hạng mục CNTT yêu cầu</t>
        </is>
      </c>
      <c r="B11" s="11" t="inlineStr">
        <is>
          <t>AI QC</t>
        </is>
      </c>
      <c r="C11" s="11" t="inlineStr">
        <is>
          <t>AI Nhắc lịch TeleSale</t>
        </is>
      </c>
      <c r="D11" s="11" t="inlineStr">
        <is>
          <t>AI Lead Scoring</t>
        </is>
      </c>
    </row>
    <row r="12" ht="24" customHeight="1">
      <c r="A12" s="18" t="inlineStr">
        <is>
          <t>① Tri thức cho AI</t>
        </is>
      </c>
      <c r="B12" s="19" t="inlineStr">
        <is>
          <t>Gần đủ</t>
        </is>
      </c>
      <c r="C12" s="21" t="inlineStr">
        <is>
          <t>Một phần</t>
        </is>
      </c>
      <c r="D12" s="19" t="inlineStr">
        <is>
          <t>Gần đủ</t>
        </is>
      </c>
    </row>
    <row r="13" ht="24" customHeight="1">
      <c r="A13" s="18" t="inlineStr">
        <is>
          <t>① Bộ tiêu chí đánh giá chất lượng AI</t>
        </is>
      </c>
      <c r="B13" s="20" t="inlineStr">
        <is>
          <t>Chưa có</t>
        </is>
      </c>
      <c r="C13" s="20" t="inlineStr">
        <is>
          <t>Chưa có</t>
        </is>
      </c>
      <c r="D13" s="20" t="inlineStr">
        <is>
          <t>Chưa có</t>
        </is>
      </c>
    </row>
    <row r="14" ht="24" customHeight="1">
      <c r="A14" s="18" t="inlineStr">
        <is>
          <t>② Quy trình hiện trạng (AS-IS)</t>
        </is>
      </c>
      <c r="B14" s="20" t="inlineStr">
        <is>
          <t>Chưa có</t>
        </is>
      </c>
      <c r="C14" s="20" t="inlineStr">
        <is>
          <t>Chưa có</t>
        </is>
      </c>
      <c r="D14" s="21" t="inlineStr">
        <is>
          <t>Một phần nhỏ</t>
        </is>
      </c>
    </row>
    <row r="15" ht="24" customHeight="1">
      <c r="A15" s="18" t="inlineStr">
        <is>
          <t>② Quy trình đích có AI (TO-BE)</t>
        </is>
      </c>
      <c r="B15" s="20" t="inlineStr">
        <is>
          <t>Chưa có</t>
        </is>
      </c>
      <c r="C15" s="20" t="inlineStr">
        <is>
          <t>Chưa có</t>
        </is>
      </c>
      <c r="D15" s="20" t="inlineStr">
        <is>
          <t>Chưa có</t>
        </is>
      </c>
    </row>
    <row r="16" ht="24" customHeight="1">
      <c r="A16" s="18" t="inlineStr">
        <is>
          <t>③ Đối tượng sử dụng</t>
        </is>
      </c>
      <c r="B16" s="21" t="inlineStr">
        <is>
          <t>Một phần</t>
        </is>
      </c>
      <c r="C16" s="20" t="inlineStr">
        <is>
          <t>Chưa có</t>
        </is>
      </c>
      <c r="D16" s="20" t="inlineStr">
        <is>
          <t>Chưa có</t>
        </is>
      </c>
    </row>
    <row r="17" ht="24" customHeight="1">
      <c r="A17" s="18" t="inlineStr">
        <is>
          <t>④ Mục tiêu &amp; hiệu quả</t>
        </is>
      </c>
      <c r="B17" s="21" t="inlineStr">
        <is>
          <t>Một phần</t>
        </is>
      </c>
      <c r="C17" s="21" t="inlineStr">
        <is>
          <t>Một phần</t>
        </is>
      </c>
      <c r="D17" s="21" t="inlineStr">
        <is>
          <t>Một phần</t>
        </is>
      </c>
    </row>
    <row r="19">
      <c r="A19" s="27" t="inlineStr">
        <is>
          <t>KẾT LUẬN: nhóm ① đủ để CNTT HIỂU BÀI TOÁN. Nhưng để ƯỚC LƯỢNG EFFORT thì cần nhóm ② — quy trình, điểm tích hợp, trường dữ liệu, sự kiện log — và nhóm đó đang trống gần hoàn toàn. Với bộ tài liệu hiện tại, CHƯA ƯỚC LƯỢNG ĐƯỢC EFFORT cho bất kỳ trợ lý nào. Việc cần làm ngay không phải bổ sung thêm tri thức, mà là viết quy trình hiện trạng và chốt quy trình đích.</t>
        </is>
      </c>
    </row>
    <row r="20"/>
    <row r="21"/>
  </sheetData>
  <mergeCells count="3">
    <mergeCell ref="A2:F2"/>
    <mergeCell ref="A1:F1"/>
    <mergeCell ref="A19:D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2026-10-09T08:27:32Z</dcterms:created>
  <dcterms:modified xsi:type="dcterms:W3CDTF">2026-10-09T08:27:32Z</dcterms:modified>
</cp:coreProperties>
</file>